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84125fdb836d59/Documents/"/>
    </mc:Choice>
  </mc:AlternateContent>
  <xr:revisionPtr revIDLastSave="116" documentId="8_{34EEA48E-9395-4650-9CAA-0C9127AD0A0F}" xr6:coauthVersionLast="47" xr6:coauthVersionMax="47" xr10:uidLastSave="{2C1A18D4-06A4-4110-A9EB-6B7428D0C167}"/>
  <bookViews>
    <workbookView xWindow="-110" yWindow="-110" windowWidth="19420" windowHeight="10300" xr2:uid="{F5E11A8E-93B7-4B81-8C9F-7795E3B91638}"/>
  </bookViews>
  <sheets>
    <sheet name="DATA" sheetId="1" r:id="rId1"/>
    <sheet name="EX 1" sheetId="2" r:id="rId2"/>
    <sheet name="EX 2" sheetId="3" r:id="rId3"/>
    <sheet name="EX 3" sheetId="4" r:id="rId4"/>
    <sheet name="EX 4" sheetId="5" r:id="rId5"/>
    <sheet name="EX 5" sheetId="6" r:id="rId6"/>
    <sheet name="EX 6" sheetId="7" r:id="rId7"/>
    <sheet name="EX 7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D15" i="7" a="1"/>
  <c r="C15" i="7" a="1"/>
  <c r="D10" i="7"/>
  <c r="D11" i="7"/>
  <c r="D9" i="7"/>
  <c r="C9" i="7" a="1"/>
  <c r="D10" i="6" l="1" a="1"/>
  <c r="C10" i="6" a="1"/>
  <c r="C6" i="6"/>
  <c r="C2" i="6"/>
  <c r="C23" i="5"/>
  <c r="C20" i="5"/>
  <c r="C17" i="5"/>
  <c r="C14" i="5"/>
  <c r="C8" i="5"/>
  <c r="C13" i="4" a="1"/>
  <c r="C10" i="4" a="1"/>
  <c r="C6" i="4" a="1"/>
  <c r="C3" i="4" a="1"/>
  <c r="D9" i="3" l="1"/>
  <c r="D6" i="3"/>
  <c r="D3" i="3"/>
  <c r="D14" i="2"/>
  <c r="D11" i="2"/>
  <c r="D7" i="2"/>
  <c r="S201" i="1"/>
  <c r="L201" i="1"/>
  <c r="F201" i="1"/>
  <c r="S200" i="1"/>
  <c r="L200" i="1"/>
  <c r="F200" i="1"/>
  <c r="S199" i="1"/>
  <c r="L199" i="1"/>
  <c r="F199" i="1"/>
  <c r="S198" i="1"/>
  <c r="L198" i="1"/>
  <c r="F198" i="1"/>
  <c r="S197" i="1"/>
  <c r="L197" i="1"/>
  <c r="F197" i="1"/>
  <c r="S196" i="1"/>
  <c r="L196" i="1"/>
  <c r="F196" i="1"/>
  <c r="S195" i="1"/>
  <c r="L195" i="1"/>
  <c r="F195" i="1"/>
  <c r="S194" i="1"/>
  <c r="L194" i="1"/>
  <c r="F194" i="1"/>
  <c r="S193" i="1"/>
  <c r="L193" i="1"/>
  <c r="F193" i="1"/>
  <c r="S192" i="1"/>
  <c r="L192" i="1"/>
  <c r="F192" i="1"/>
  <c r="S191" i="1"/>
  <c r="L191" i="1"/>
  <c r="F191" i="1"/>
  <c r="S190" i="1"/>
  <c r="L190" i="1"/>
  <c r="F190" i="1"/>
  <c r="S189" i="1"/>
  <c r="L189" i="1"/>
  <c r="F189" i="1"/>
  <c r="S188" i="1"/>
  <c r="L188" i="1"/>
  <c r="F188" i="1"/>
  <c r="S187" i="1"/>
  <c r="L187" i="1"/>
  <c r="F187" i="1"/>
  <c r="S186" i="1"/>
  <c r="L186" i="1"/>
  <c r="F186" i="1"/>
  <c r="S185" i="1"/>
  <c r="L185" i="1"/>
  <c r="F185" i="1"/>
  <c r="S184" i="1"/>
  <c r="L184" i="1"/>
  <c r="F184" i="1"/>
  <c r="S183" i="1"/>
  <c r="L183" i="1"/>
  <c r="F183" i="1"/>
  <c r="S182" i="1"/>
  <c r="L182" i="1"/>
  <c r="F182" i="1"/>
  <c r="S181" i="1"/>
  <c r="L181" i="1"/>
  <c r="F181" i="1"/>
  <c r="S180" i="1"/>
  <c r="L180" i="1"/>
  <c r="F180" i="1"/>
  <c r="S179" i="1"/>
  <c r="L179" i="1"/>
  <c r="F179" i="1"/>
  <c r="S178" i="1"/>
  <c r="L178" i="1"/>
  <c r="F178" i="1"/>
  <c r="S177" i="1"/>
  <c r="L177" i="1"/>
  <c r="F177" i="1"/>
  <c r="S176" i="1"/>
  <c r="L176" i="1"/>
  <c r="F176" i="1"/>
  <c r="S175" i="1"/>
  <c r="L175" i="1"/>
  <c r="F175" i="1"/>
  <c r="S174" i="1"/>
  <c r="L174" i="1"/>
  <c r="F174" i="1"/>
  <c r="S173" i="1"/>
  <c r="L173" i="1"/>
  <c r="F173" i="1"/>
  <c r="S172" i="1"/>
  <c r="L172" i="1"/>
  <c r="F172" i="1"/>
  <c r="S171" i="1"/>
  <c r="L171" i="1"/>
  <c r="F171" i="1"/>
  <c r="S170" i="1"/>
  <c r="L170" i="1"/>
  <c r="F170" i="1"/>
  <c r="S169" i="1"/>
  <c r="L169" i="1"/>
  <c r="F169" i="1"/>
  <c r="S168" i="1"/>
  <c r="L168" i="1"/>
  <c r="F168" i="1"/>
  <c r="S167" i="1"/>
  <c r="L167" i="1"/>
  <c r="F167" i="1"/>
  <c r="S166" i="1"/>
  <c r="L166" i="1"/>
  <c r="F166" i="1"/>
  <c r="S165" i="1"/>
  <c r="L165" i="1"/>
  <c r="F165" i="1"/>
  <c r="S164" i="1"/>
  <c r="L164" i="1"/>
  <c r="F164" i="1"/>
  <c r="S163" i="1"/>
  <c r="L163" i="1"/>
  <c r="F163" i="1"/>
  <c r="S162" i="1"/>
  <c r="L162" i="1"/>
  <c r="F162" i="1"/>
  <c r="S161" i="1"/>
  <c r="L161" i="1"/>
  <c r="F161" i="1"/>
  <c r="S160" i="1"/>
  <c r="L160" i="1"/>
  <c r="F160" i="1"/>
  <c r="S159" i="1"/>
  <c r="L159" i="1"/>
  <c r="F159" i="1"/>
  <c r="S158" i="1"/>
  <c r="L158" i="1"/>
  <c r="F158" i="1"/>
  <c r="S157" i="1"/>
  <c r="L157" i="1"/>
  <c r="F157" i="1"/>
  <c r="S156" i="1"/>
  <c r="L156" i="1"/>
  <c r="F156" i="1"/>
  <c r="S155" i="1"/>
  <c r="L155" i="1"/>
  <c r="F155" i="1"/>
  <c r="S154" i="1"/>
  <c r="L154" i="1"/>
  <c r="F154" i="1"/>
  <c r="S153" i="1"/>
  <c r="L153" i="1"/>
  <c r="F153" i="1"/>
  <c r="S152" i="1"/>
  <c r="L152" i="1"/>
  <c r="F152" i="1"/>
  <c r="S151" i="1"/>
  <c r="L151" i="1"/>
  <c r="F151" i="1"/>
  <c r="S150" i="1"/>
  <c r="L150" i="1"/>
  <c r="F150" i="1"/>
  <c r="S149" i="1"/>
  <c r="L149" i="1"/>
  <c r="F149" i="1"/>
  <c r="S148" i="1"/>
  <c r="L148" i="1"/>
  <c r="F148" i="1"/>
  <c r="S147" i="1"/>
  <c r="L147" i="1"/>
  <c r="F147" i="1"/>
  <c r="S146" i="1"/>
  <c r="L146" i="1"/>
  <c r="F146" i="1"/>
  <c r="S145" i="1"/>
  <c r="L145" i="1"/>
  <c r="F145" i="1"/>
  <c r="S144" i="1"/>
  <c r="L144" i="1"/>
  <c r="F144" i="1"/>
  <c r="S143" i="1"/>
  <c r="L143" i="1"/>
  <c r="F143" i="1"/>
  <c r="S142" i="1"/>
  <c r="L142" i="1"/>
  <c r="F142" i="1"/>
  <c r="S141" i="1"/>
  <c r="L141" i="1"/>
  <c r="F141" i="1"/>
  <c r="S140" i="1"/>
  <c r="L140" i="1"/>
  <c r="F140" i="1"/>
  <c r="S139" i="1"/>
  <c r="L139" i="1"/>
  <c r="F139" i="1"/>
  <c r="S138" i="1"/>
  <c r="L138" i="1"/>
  <c r="F138" i="1"/>
  <c r="S137" i="1"/>
  <c r="L137" i="1"/>
  <c r="F137" i="1"/>
  <c r="S136" i="1"/>
  <c r="L136" i="1"/>
  <c r="F136" i="1"/>
  <c r="S135" i="1"/>
  <c r="L135" i="1"/>
  <c r="F135" i="1"/>
  <c r="S134" i="1"/>
  <c r="L134" i="1"/>
  <c r="F134" i="1"/>
  <c r="S133" i="1"/>
  <c r="L133" i="1"/>
  <c r="F133" i="1"/>
  <c r="S132" i="1"/>
  <c r="L132" i="1"/>
  <c r="F132" i="1"/>
  <c r="S131" i="1"/>
  <c r="L131" i="1"/>
  <c r="F131" i="1"/>
  <c r="S130" i="1"/>
  <c r="L130" i="1"/>
  <c r="F130" i="1"/>
  <c r="S129" i="1"/>
  <c r="L129" i="1"/>
  <c r="F129" i="1"/>
  <c r="S128" i="1"/>
  <c r="L128" i="1"/>
  <c r="F128" i="1"/>
  <c r="S127" i="1"/>
  <c r="L127" i="1"/>
  <c r="F127" i="1"/>
  <c r="S126" i="1"/>
  <c r="L126" i="1"/>
  <c r="F126" i="1"/>
  <c r="S125" i="1"/>
  <c r="L125" i="1"/>
  <c r="F125" i="1"/>
  <c r="S124" i="1"/>
  <c r="L124" i="1"/>
  <c r="F124" i="1"/>
  <c r="S123" i="1"/>
  <c r="L123" i="1"/>
  <c r="F123" i="1"/>
  <c r="S122" i="1"/>
  <c r="L122" i="1"/>
  <c r="F122" i="1"/>
  <c r="S121" i="1"/>
  <c r="L121" i="1"/>
  <c r="F121" i="1"/>
  <c r="S120" i="1"/>
  <c r="L120" i="1"/>
  <c r="F120" i="1"/>
  <c r="S119" i="1"/>
  <c r="L119" i="1"/>
  <c r="F119" i="1"/>
  <c r="S118" i="1"/>
  <c r="L118" i="1"/>
  <c r="F118" i="1"/>
  <c r="S117" i="1"/>
  <c r="L117" i="1"/>
  <c r="F117" i="1"/>
  <c r="S116" i="1"/>
  <c r="L116" i="1"/>
  <c r="F116" i="1"/>
  <c r="S115" i="1"/>
  <c r="L115" i="1"/>
  <c r="F115" i="1"/>
  <c r="S114" i="1"/>
  <c r="L114" i="1"/>
  <c r="F114" i="1"/>
  <c r="S113" i="1"/>
  <c r="L113" i="1"/>
  <c r="F113" i="1"/>
  <c r="S112" i="1"/>
  <c r="L112" i="1"/>
  <c r="F112" i="1"/>
  <c r="S111" i="1"/>
  <c r="L111" i="1"/>
  <c r="F111" i="1"/>
  <c r="S110" i="1"/>
  <c r="L110" i="1"/>
  <c r="F110" i="1"/>
  <c r="S109" i="1"/>
  <c r="L109" i="1"/>
  <c r="F109" i="1"/>
  <c r="S108" i="1"/>
  <c r="L108" i="1"/>
  <c r="F108" i="1"/>
  <c r="S107" i="1"/>
  <c r="L107" i="1"/>
  <c r="F107" i="1"/>
  <c r="S106" i="1"/>
  <c r="L106" i="1"/>
  <c r="F106" i="1"/>
  <c r="S105" i="1"/>
  <c r="L105" i="1"/>
  <c r="F105" i="1"/>
  <c r="S104" i="1"/>
  <c r="L104" i="1"/>
  <c r="F104" i="1"/>
  <c r="S103" i="1"/>
  <c r="L103" i="1"/>
  <c r="F103" i="1"/>
  <c r="S102" i="1"/>
  <c r="L102" i="1"/>
  <c r="F102" i="1"/>
  <c r="S101" i="1"/>
  <c r="L101" i="1"/>
  <c r="F101" i="1"/>
  <c r="S100" i="1"/>
  <c r="L100" i="1"/>
  <c r="F100" i="1"/>
  <c r="S99" i="1"/>
  <c r="L99" i="1"/>
  <c r="F99" i="1"/>
  <c r="S98" i="1"/>
  <c r="L98" i="1"/>
  <c r="F98" i="1"/>
  <c r="S97" i="1"/>
  <c r="L97" i="1"/>
  <c r="F97" i="1"/>
  <c r="S96" i="1"/>
  <c r="L96" i="1"/>
  <c r="F96" i="1"/>
  <c r="S95" i="1"/>
  <c r="L95" i="1"/>
  <c r="F95" i="1"/>
  <c r="S94" i="1"/>
  <c r="L94" i="1"/>
  <c r="F94" i="1"/>
  <c r="S93" i="1"/>
  <c r="L93" i="1"/>
  <c r="F93" i="1"/>
  <c r="S92" i="1"/>
  <c r="L92" i="1"/>
  <c r="F92" i="1"/>
  <c r="S91" i="1"/>
  <c r="L91" i="1"/>
  <c r="F91" i="1"/>
  <c r="S90" i="1"/>
  <c r="L90" i="1"/>
  <c r="F90" i="1"/>
  <c r="S89" i="1"/>
  <c r="L89" i="1"/>
  <c r="F89" i="1"/>
  <c r="S88" i="1"/>
  <c r="L88" i="1"/>
  <c r="F88" i="1"/>
  <c r="S87" i="1"/>
  <c r="L87" i="1"/>
  <c r="F87" i="1"/>
  <c r="S86" i="1"/>
  <c r="L86" i="1"/>
  <c r="F86" i="1"/>
  <c r="S85" i="1"/>
  <c r="L85" i="1"/>
  <c r="F85" i="1"/>
  <c r="S84" i="1"/>
  <c r="L84" i="1"/>
  <c r="F84" i="1"/>
  <c r="S83" i="1"/>
  <c r="L83" i="1"/>
  <c r="F83" i="1"/>
  <c r="S82" i="1"/>
  <c r="L82" i="1"/>
  <c r="F82" i="1"/>
  <c r="S81" i="1"/>
  <c r="L81" i="1"/>
  <c r="F81" i="1"/>
  <c r="S80" i="1"/>
  <c r="L80" i="1"/>
  <c r="F80" i="1"/>
  <c r="S79" i="1"/>
  <c r="L79" i="1"/>
  <c r="F79" i="1"/>
  <c r="S78" i="1"/>
  <c r="L78" i="1"/>
  <c r="F78" i="1"/>
  <c r="S77" i="1"/>
  <c r="L77" i="1"/>
  <c r="F77" i="1"/>
  <c r="S76" i="1"/>
  <c r="L76" i="1"/>
  <c r="F76" i="1"/>
  <c r="S75" i="1"/>
  <c r="L75" i="1"/>
  <c r="F75" i="1"/>
  <c r="S74" i="1"/>
  <c r="L74" i="1"/>
  <c r="F74" i="1"/>
  <c r="S73" i="1"/>
  <c r="L73" i="1"/>
  <c r="F73" i="1"/>
  <c r="S72" i="1"/>
  <c r="L72" i="1"/>
  <c r="F72" i="1"/>
  <c r="S71" i="1"/>
  <c r="L71" i="1"/>
  <c r="F71" i="1"/>
  <c r="S70" i="1"/>
  <c r="L70" i="1"/>
  <c r="F70" i="1"/>
  <c r="S69" i="1"/>
  <c r="L69" i="1"/>
  <c r="F69" i="1"/>
  <c r="S68" i="1"/>
  <c r="L68" i="1"/>
  <c r="F68" i="1"/>
  <c r="S67" i="1"/>
  <c r="L67" i="1"/>
  <c r="F67" i="1"/>
  <c r="S66" i="1"/>
  <c r="L66" i="1"/>
  <c r="F66" i="1"/>
  <c r="S65" i="1"/>
  <c r="L65" i="1"/>
  <c r="F65" i="1"/>
  <c r="S64" i="1"/>
  <c r="L64" i="1"/>
  <c r="F64" i="1"/>
  <c r="S63" i="1"/>
  <c r="L63" i="1"/>
  <c r="F63" i="1"/>
  <c r="S62" i="1"/>
  <c r="L62" i="1"/>
  <c r="F62" i="1"/>
  <c r="S61" i="1"/>
  <c r="L61" i="1"/>
  <c r="F61" i="1"/>
  <c r="S60" i="1"/>
  <c r="L60" i="1"/>
  <c r="F60" i="1"/>
  <c r="S59" i="1"/>
  <c r="L59" i="1"/>
  <c r="F59" i="1"/>
  <c r="S58" i="1"/>
  <c r="L58" i="1"/>
  <c r="F58" i="1"/>
  <c r="S57" i="1"/>
  <c r="L57" i="1"/>
  <c r="F57" i="1"/>
  <c r="S56" i="1"/>
  <c r="L56" i="1"/>
  <c r="F56" i="1"/>
  <c r="S55" i="1"/>
  <c r="L55" i="1"/>
  <c r="F55" i="1"/>
  <c r="S54" i="1"/>
  <c r="L54" i="1"/>
  <c r="F54" i="1"/>
  <c r="S53" i="1"/>
  <c r="L53" i="1"/>
  <c r="F53" i="1"/>
  <c r="S52" i="1"/>
  <c r="L52" i="1"/>
  <c r="F52" i="1"/>
  <c r="S51" i="1"/>
  <c r="L51" i="1"/>
  <c r="F51" i="1"/>
  <c r="S50" i="1"/>
  <c r="L50" i="1"/>
  <c r="F50" i="1"/>
  <c r="S49" i="1"/>
  <c r="L49" i="1"/>
  <c r="F49" i="1"/>
  <c r="S48" i="1"/>
  <c r="L48" i="1"/>
  <c r="F48" i="1"/>
  <c r="S47" i="1"/>
  <c r="L47" i="1"/>
  <c r="F47" i="1"/>
  <c r="S46" i="1"/>
  <c r="L46" i="1"/>
  <c r="F46" i="1"/>
  <c r="S45" i="1"/>
  <c r="L45" i="1"/>
  <c r="F45" i="1"/>
  <c r="S44" i="1"/>
  <c r="L44" i="1"/>
  <c r="F44" i="1"/>
  <c r="S43" i="1"/>
  <c r="L43" i="1"/>
  <c r="F43" i="1"/>
  <c r="S42" i="1"/>
  <c r="L42" i="1"/>
  <c r="F42" i="1"/>
  <c r="S41" i="1"/>
  <c r="L41" i="1"/>
  <c r="F41" i="1"/>
  <c r="S40" i="1"/>
  <c r="L40" i="1"/>
  <c r="F40" i="1"/>
  <c r="S39" i="1"/>
  <c r="L39" i="1"/>
  <c r="F39" i="1"/>
  <c r="S38" i="1"/>
  <c r="L38" i="1"/>
  <c r="F38" i="1"/>
  <c r="S37" i="1"/>
  <c r="L37" i="1"/>
  <c r="F37" i="1"/>
  <c r="S36" i="1"/>
  <c r="L36" i="1"/>
  <c r="F36" i="1"/>
  <c r="S35" i="1"/>
  <c r="L35" i="1"/>
  <c r="F35" i="1"/>
  <c r="S34" i="1"/>
  <c r="L34" i="1"/>
  <c r="F34" i="1"/>
  <c r="S33" i="1"/>
  <c r="L33" i="1"/>
  <c r="F33" i="1"/>
  <c r="S32" i="1"/>
  <c r="L32" i="1"/>
  <c r="F32" i="1"/>
  <c r="S31" i="1"/>
  <c r="L31" i="1"/>
  <c r="F31" i="1"/>
  <c r="S30" i="1"/>
  <c r="L30" i="1"/>
  <c r="F30" i="1"/>
  <c r="S29" i="1"/>
  <c r="L29" i="1"/>
  <c r="F29" i="1"/>
  <c r="S28" i="1"/>
  <c r="L28" i="1"/>
  <c r="F28" i="1"/>
  <c r="S27" i="1"/>
  <c r="L27" i="1"/>
  <c r="F27" i="1"/>
  <c r="S26" i="1"/>
  <c r="L26" i="1"/>
  <c r="F26" i="1"/>
  <c r="S25" i="1"/>
  <c r="L25" i="1"/>
  <c r="F25" i="1"/>
  <c r="S24" i="1"/>
  <c r="L24" i="1"/>
  <c r="F24" i="1"/>
  <c r="S23" i="1"/>
  <c r="L23" i="1"/>
  <c r="F23" i="1"/>
  <c r="S22" i="1"/>
  <c r="L22" i="1"/>
  <c r="F22" i="1"/>
  <c r="S21" i="1"/>
  <c r="L21" i="1"/>
  <c r="F21" i="1"/>
  <c r="S20" i="1"/>
  <c r="L20" i="1"/>
  <c r="F20" i="1"/>
  <c r="S19" i="1"/>
  <c r="L19" i="1"/>
  <c r="F19" i="1"/>
  <c r="S18" i="1"/>
  <c r="L18" i="1"/>
  <c r="F18" i="1"/>
  <c r="S17" i="1"/>
  <c r="L17" i="1"/>
  <c r="F17" i="1"/>
  <c r="S16" i="1"/>
  <c r="L16" i="1"/>
  <c r="F16" i="1"/>
  <c r="S15" i="1"/>
  <c r="L15" i="1"/>
  <c r="F15" i="1"/>
  <c r="S14" i="1"/>
  <c r="L14" i="1"/>
  <c r="F14" i="1"/>
  <c r="S13" i="1"/>
  <c r="L13" i="1"/>
  <c r="F13" i="1"/>
  <c r="S12" i="1"/>
  <c r="L12" i="1"/>
  <c r="F12" i="1"/>
  <c r="S11" i="1"/>
  <c r="L11" i="1"/>
  <c r="F11" i="1"/>
  <c r="S10" i="1"/>
  <c r="L10" i="1"/>
  <c r="F10" i="1"/>
  <c r="S9" i="1"/>
  <c r="L9" i="1"/>
  <c r="F9" i="1"/>
  <c r="S8" i="1"/>
  <c r="L8" i="1"/>
  <c r="F8" i="1"/>
  <c r="S7" i="1"/>
  <c r="L7" i="1"/>
  <c r="F7" i="1"/>
  <c r="S6" i="1"/>
  <c r="L6" i="1"/>
  <c r="F6" i="1"/>
  <c r="S5" i="1"/>
  <c r="L5" i="1"/>
  <c r="F5" i="1"/>
  <c r="S4" i="1"/>
  <c r="L4" i="1"/>
  <c r="F4" i="1"/>
  <c r="S3" i="1"/>
  <c r="L3" i="1"/>
  <c r="F3" i="1"/>
  <c r="S2" i="1"/>
  <c r="L2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<sst xmlns="http://schemas.openxmlformats.org/spreadsheetml/2006/main" count="1478" uniqueCount="499">
  <si>
    <t>Requisition_ID</t>
  </si>
  <si>
    <t>Department</t>
  </si>
  <si>
    <t>Position</t>
  </si>
  <si>
    <t>Open_Date</t>
  </si>
  <si>
    <t>Hire_Date</t>
  </si>
  <si>
    <t>Time to Fill</t>
  </si>
  <si>
    <t>Recruitment_Cost</t>
  </si>
  <si>
    <t>Source</t>
  </si>
  <si>
    <t>Candidate_Count</t>
  </si>
  <si>
    <t>Offers_Made</t>
  </si>
  <si>
    <t>Offers_Accepted</t>
  </si>
  <si>
    <t>Acceptance Rate</t>
  </si>
  <si>
    <t>Emp_ID</t>
  </si>
  <si>
    <t>Training_Hours</t>
  </si>
  <si>
    <t>Training_Cost</t>
  </si>
  <si>
    <t>Pre_Test</t>
  </si>
  <si>
    <t>Post_Test</t>
  </si>
  <si>
    <t>Learning Imp</t>
  </si>
  <si>
    <t>Rating</t>
  </si>
  <si>
    <t>Attendance_Percent</t>
  </si>
  <si>
    <t>Performance_Score</t>
  </si>
  <si>
    <t>Attrition_Status</t>
  </si>
  <si>
    <t>Gender</t>
  </si>
  <si>
    <t>Age</t>
  </si>
  <si>
    <t>Experience_Years</t>
  </si>
  <si>
    <t>Leave_Taken</t>
  </si>
  <si>
    <t>Leave_Available</t>
  </si>
  <si>
    <t>Salary</t>
  </si>
  <si>
    <t>REQ001</t>
  </si>
  <si>
    <t>Operations</t>
  </si>
  <si>
    <t>Senior Analyst</t>
  </si>
  <si>
    <t>Campus Hiring</t>
  </si>
  <si>
    <t>E001</t>
  </si>
  <si>
    <t>Yes</t>
  </si>
  <si>
    <t>Female</t>
  </si>
  <si>
    <t>REQ002</t>
  </si>
  <si>
    <t>Walk-In</t>
  </si>
  <si>
    <t>E002</t>
  </si>
  <si>
    <t>No</t>
  </si>
  <si>
    <t>REQ003</t>
  </si>
  <si>
    <t>HR</t>
  </si>
  <si>
    <t>Employee Referral</t>
  </si>
  <si>
    <t>E003</t>
  </si>
  <si>
    <t>REQ004</t>
  </si>
  <si>
    <t>Naukri</t>
  </si>
  <si>
    <t>E004</t>
  </si>
  <si>
    <t>Male</t>
  </si>
  <si>
    <t>REQ005</t>
  </si>
  <si>
    <t>Team Lead</t>
  </si>
  <si>
    <t>E005</t>
  </si>
  <si>
    <t>REQ006</t>
  </si>
  <si>
    <t>Analyst</t>
  </si>
  <si>
    <t>E006</t>
  </si>
  <si>
    <t>REQ007</t>
  </si>
  <si>
    <t>Associate</t>
  </si>
  <si>
    <t>LinkedIn</t>
  </si>
  <si>
    <t>E007</t>
  </si>
  <si>
    <t>REQ008</t>
  </si>
  <si>
    <t>Marketing</t>
  </si>
  <si>
    <t>E008</t>
  </si>
  <si>
    <t>REQ009</t>
  </si>
  <si>
    <t>E009</t>
  </si>
  <si>
    <t>REQ010</t>
  </si>
  <si>
    <t>Manager</t>
  </si>
  <si>
    <t>E010</t>
  </si>
  <si>
    <t>REQ011</t>
  </si>
  <si>
    <t>E011</t>
  </si>
  <si>
    <t>REQ012</t>
  </si>
  <si>
    <t>E012</t>
  </si>
  <si>
    <t>REQ013</t>
  </si>
  <si>
    <t>Sales</t>
  </si>
  <si>
    <t>E013</t>
  </si>
  <si>
    <t>REQ014</t>
  </si>
  <si>
    <t>E014</t>
  </si>
  <si>
    <t>REQ015</t>
  </si>
  <si>
    <t>Finance</t>
  </si>
  <si>
    <t>E015</t>
  </si>
  <si>
    <t>REQ016</t>
  </si>
  <si>
    <t>E016</t>
  </si>
  <si>
    <t>REQ017</t>
  </si>
  <si>
    <t>IT</t>
  </si>
  <si>
    <t>E017</t>
  </si>
  <si>
    <t>REQ018</t>
  </si>
  <si>
    <t>E018</t>
  </si>
  <si>
    <t>REQ019</t>
  </si>
  <si>
    <t>E019</t>
  </si>
  <si>
    <t>REQ020</t>
  </si>
  <si>
    <t>E020</t>
  </si>
  <si>
    <t>REQ021</t>
  </si>
  <si>
    <t>Executive</t>
  </si>
  <si>
    <t>E021</t>
  </si>
  <si>
    <t>REQ022</t>
  </si>
  <si>
    <t>E022</t>
  </si>
  <si>
    <t>REQ023</t>
  </si>
  <si>
    <t>E023</t>
  </si>
  <si>
    <t>REQ024</t>
  </si>
  <si>
    <t>E024</t>
  </si>
  <si>
    <t>REQ025</t>
  </si>
  <si>
    <t>E025</t>
  </si>
  <si>
    <t>REQ026</t>
  </si>
  <si>
    <t>E026</t>
  </si>
  <si>
    <t>REQ027</t>
  </si>
  <si>
    <t>E027</t>
  </si>
  <si>
    <t>REQ028</t>
  </si>
  <si>
    <t>E028</t>
  </si>
  <si>
    <t>REQ029</t>
  </si>
  <si>
    <t>E029</t>
  </si>
  <si>
    <t>REQ030</t>
  </si>
  <si>
    <t>E030</t>
  </si>
  <si>
    <t>REQ031</t>
  </si>
  <si>
    <t>E031</t>
  </si>
  <si>
    <t>REQ032</t>
  </si>
  <si>
    <t>E032</t>
  </si>
  <si>
    <t>REQ033</t>
  </si>
  <si>
    <t>E033</t>
  </si>
  <si>
    <t>REQ034</t>
  </si>
  <si>
    <t>E034</t>
  </si>
  <si>
    <t>REQ035</t>
  </si>
  <si>
    <t>E035</t>
  </si>
  <si>
    <t>REQ036</t>
  </si>
  <si>
    <t>E036</t>
  </si>
  <si>
    <t>REQ037</t>
  </si>
  <si>
    <t>E037</t>
  </si>
  <si>
    <t>REQ038</t>
  </si>
  <si>
    <t>E038</t>
  </si>
  <si>
    <t>REQ039</t>
  </si>
  <si>
    <t>E039</t>
  </si>
  <si>
    <t>REQ040</t>
  </si>
  <si>
    <t>E040</t>
  </si>
  <si>
    <t>REQ041</t>
  </si>
  <si>
    <t>E041</t>
  </si>
  <si>
    <t>REQ042</t>
  </si>
  <si>
    <t>E042</t>
  </si>
  <si>
    <t>REQ043</t>
  </si>
  <si>
    <t>E043</t>
  </si>
  <si>
    <t>REQ044</t>
  </si>
  <si>
    <t>E044</t>
  </si>
  <si>
    <t>REQ045</t>
  </si>
  <si>
    <t>E045</t>
  </si>
  <si>
    <t>REQ046</t>
  </si>
  <si>
    <t>E046</t>
  </si>
  <si>
    <t>REQ047</t>
  </si>
  <si>
    <t>E047</t>
  </si>
  <si>
    <t>REQ048</t>
  </si>
  <si>
    <t>E048</t>
  </si>
  <si>
    <t>REQ049</t>
  </si>
  <si>
    <t>E049</t>
  </si>
  <si>
    <t>REQ050</t>
  </si>
  <si>
    <t>E050</t>
  </si>
  <si>
    <t>REQ051</t>
  </si>
  <si>
    <t>E051</t>
  </si>
  <si>
    <t>REQ052</t>
  </si>
  <si>
    <t>E052</t>
  </si>
  <si>
    <t>REQ053</t>
  </si>
  <si>
    <t>E053</t>
  </si>
  <si>
    <t>REQ054</t>
  </si>
  <si>
    <t>E054</t>
  </si>
  <si>
    <t>REQ055</t>
  </si>
  <si>
    <t>E055</t>
  </si>
  <si>
    <t>REQ056</t>
  </si>
  <si>
    <t>E056</t>
  </si>
  <si>
    <t>REQ057</t>
  </si>
  <si>
    <t>E057</t>
  </si>
  <si>
    <t>REQ058</t>
  </si>
  <si>
    <t>E058</t>
  </si>
  <si>
    <t>REQ059</t>
  </si>
  <si>
    <t>E059</t>
  </si>
  <si>
    <t>REQ060</t>
  </si>
  <si>
    <t>E060</t>
  </si>
  <si>
    <t>REQ061</t>
  </si>
  <si>
    <t>E061</t>
  </si>
  <si>
    <t>REQ062</t>
  </si>
  <si>
    <t>E062</t>
  </si>
  <si>
    <t>REQ063</t>
  </si>
  <si>
    <t>E063</t>
  </si>
  <si>
    <t>REQ064</t>
  </si>
  <si>
    <t>E064</t>
  </si>
  <si>
    <t>REQ065</t>
  </si>
  <si>
    <t>E065</t>
  </si>
  <si>
    <t>REQ066</t>
  </si>
  <si>
    <t>E066</t>
  </si>
  <si>
    <t>REQ067</t>
  </si>
  <si>
    <t>E067</t>
  </si>
  <si>
    <t>REQ068</t>
  </si>
  <si>
    <t>E068</t>
  </si>
  <si>
    <t>REQ069</t>
  </si>
  <si>
    <t>E069</t>
  </si>
  <si>
    <t>REQ070</t>
  </si>
  <si>
    <t>E070</t>
  </si>
  <si>
    <t>REQ071</t>
  </si>
  <si>
    <t>E071</t>
  </si>
  <si>
    <t>REQ072</t>
  </si>
  <si>
    <t>E072</t>
  </si>
  <si>
    <t>REQ073</t>
  </si>
  <si>
    <t>E073</t>
  </si>
  <si>
    <t>REQ074</t>
  </si>
  <si>
    <t>E074</t>
  </si>
  <si>
    <t>REQ075</t>
  </si>
  <si>
    <t>E075</t>
  </si>
  <si>
    <t>REQ076</t>
  </si>
  <si>
    <t>E076</t>
  </si>
  <si>
    <t>REQ077</t>
  </si>
  <si>
    <t>E077</t>
  </si>
  <si>
    <t>REQ078</t>
  </si>
  <si>
    <t>E078</t>
  </si>
  <si>
    <t>REQ079</t>
  </si>
  <si>
    <t>E079</t>
  </si>
  <si>
    <t>REQ080</t>
  </si>
  <si>
    <t>E080</t>
  </si>
  <si>
    <t>REQ081</t>
  </si>
  <si>
    <t>E081</t>
  </si>
  <si>
    <t>REQ082</t>
  </si>
  <si>
    <t>E082</t>
  </si>
  <si>
    <t>REQ083</t>
  </si>
  <si>
    <t>E083</t>
  </si>
  <si>
    <t>REQ084</t>
  </si>
  <si>
    <t>E084</t>
  </si>
  <si>
    <t>REQ085</t>
  </si>
  <si>
    <t>E085</t>
  </si>
  <si>
    <t>REQ086</t>
  </si>
  <si>
    <t>E086</t>
  </si>
  <si>
    <t>REQ087</t>
  </si>
  <si>
    <t>E087</t>
  </si>
  <si>
    <t>REQ088</t>
  </si>
  <si>
    <t>E088</t>
  </si>
  <si>
    <t>REQ089</t>
  </si>
  <si>
    <t>E089</t>
  </si>
  <si>
    <t>REQ090</t>
  </si>
  <si>
    <t>E090</t>
  </si>
  <si>
    <t>REQ091</t>
  </si>
  <si>
    <t>E091</t>
  </si>
  <si>
    <t>REQ092</t>
  </si>
  <si>
    <t>E092</t>
  </si>
  <si>
    <t>REQ093</t>
  </si>
  <si>
    <t>E093</t>
  </si>
  <si>
    <t>REQ094</t>
  </si>
  <si>
    <t>E094</t>
  </si>
  <si>
    <t>REQ095</t>
  </si>
  <si>
    <t>E095</t>
  </si>
  <si>
    <t>REQ096</t>
  </si>
  <si>
    <t>E096</t>
  </si>
  <si>
    <t>REQ097</t>
  </si>
  <si>
    <t>E097</t>
  </si>
  <si>
    <t>REQ098</t>
  </si>
  <si>
    <t>E098</t>
  </si>
  <si>
    <t>REQ099</t>
  </si>
  <si>
    <t>E099</t>
  </si>
  <si>
    <t>REQ100</t>
  </si>
  <si>
    <t>E100</t>
  </si>
  <si>
    <t>REQ101</t>
  </si>
  <si>
    <t>E101</t>
  </si>
  <si>
    <t>REQ102</t>
  </si>
  <si>
    <t>E102</t>
  </si>
  <si>
    <t>REQ103</t>
  </si>
  <si>
    <t>E103</t>
  </si>
  <si>
    <t>REQ104</t>
  </si>
  <si>
    <t>E104</t>
  </si>
  <si>
    <t>REQ105</t>
  </si>
  <si>
    <t>E105</t>
  </si>
  <si>
    <t>REQ106</t>
  </si>
  <si>
    <t>E106</t>
  </si>
  <si>
    <t>REQ107</t>
  </si>
  <si>
    <t>E107</t>
  </si>
  <si>
    <t>REQ108</t>
  </si>
  <si>
    <t>E108</t>
  </si>
  <si>
    <t>REQ109</t>
  </si>
  <si>
    <t>E109</t>
  </si>
  <si>
    <t>REQ110</t>
  </si>
  <si>
    <t>E110</t>
  </si>
  <si>
    <t>REQ111</t>
  </si>
  <si>
    <t>E111</t>
  </si>
  <si>
    <t>REQ112</t>
  </si>
  <si>
    <t>E112</t>
  </si>
  <si>
    <t>REQ113</t>
  </si>
  <si>
    <t>E113</t>
  </si>
  <si>
    <t>REQ114</t>
  </si>
  <si>
    <t>E114</t>
  </si>
  <si>
    <t>REQ115</t>
  </si>
  <si>
    <t>E115</t>
  </si>
  <si>
    <t>REQ116</t>
  </si>
  <si>
    <t>E116</t>
  </si>
  <si>
    <t>REQ117</t>
  </si>
  <si>
    <t>E117</t>
  </si>
  <si>
    <t>REQ118</t>
  </si>
  <si>
    <t>E118</t>
  </si>
  <si>
    <t>REQ119</t>
  </si>
  <si>
    <t>E119</t>
  </si>
  <si>
    <t>REQ120</t>
  </si>
  <si>
    <t>E120</t>
  </si>
  <si>
    <t>REQ121</t>
  </si>
  <si>
    <t>E121</t>
  </si>
  <si>
    <t>REQ122</t>
  </si>
  <si>
    <t>E122</t>
  </si>
  <si>
    <t>REQ123</t>
  </si>
  <si>
    <t>E123</t>
  </si>
  <si>
    <t>REQ124</t>
  </si>
  <si>
    <t>E124</t>
  </si>
  <si>
    <t>REQ125</t>
  </si>
  <si>
    <t>E125</t>
  </si>
  <si>
    <t>REQ126</t>
  </si>
  <si>
    <t>E126</t>
  </si>
  <si>
    <t>REQ127</t>
  </si>
  <si>
    <t>E127</t>
  </si>
  <si>
    <t>REQ128</t>
  </si>
  <si>
    <t>E128</t>
  </si>
  <si>
    <t>REQ129</t>
  </si>
  <si>
    <t>E129</t>
  </si>
  <si>
    <t>REQ130</t>
  </si>
  <si>
    <t>E130</t>
  </si>
  <si>
    <t>REQ131</t>
  </si>
  <si>
    <t>E131</t>
  </si>
  <si>
    <t>REQ132</t>
  </si>
  <si>
    <t>E132</t>
  </si>
  <si>
    <t>REQ133</t>
  </si>
  <si>
    <t>E133</t>
  </si>
  <si>
    <t>REQ134</t>
  </si>
  <si>
    <t>E134</t>
  </si>
  <si>
    <t>REQ135</t>
  </si>
  <si>
    <t>E135</t>
  </si>
  <si>
    <t>REQ136</t>
  </si>
  <si>
    <t>E136</t>
  </si>
  <si>
    <t>REQ137</t>
  </si>
  <si>
    <t>E137</t>
  </si>
  <si>
    <t>REQ138</t>
  </si>
  <si>
    <t>E138</t>
  </si>
  <si>
    <t>REQ139</t>
  </si>
  <si>
    <t>E139</t>
  </si>
  <si>
    <t>REQ140</t>
  </si>
  <si>
    <t>E140</t>
  </si>
  <si>
    <t>REQ141</t>
  </si>
  <si>
    <t>E141</t>
  </si>
  <si>
    <t>REQ142</t>
  </si>
  <si>
    <t>E142</t>
  </si>
  <si>
    <t>REQ143</t>
  </si>
  <si>
    <t>E143</t>
  </si>
  <si>
    <t>REQ144</t>
  </si>
  <si>
    <t>E144</t>
  </si>
  <si>
    <t>REQ145</t>
  </si>
  <si>
    <t>E145</t>
  </si>
  <si>
    <t>REQ146</t>
  </si>
  <si>
    <t>E146</t>
  </si>
  <si>
    <t>REQ147</t>
  </si>
  <si>
    <t>E147</t>
  </si>
  <si>
    <t>REQ148</t>
  </si>
  <si>
    <t>E148</t>
  </si>
  <si>
    <t>REQ149</t>
  </si>
  <si>
    <t>E149</t>
  </si>
  <si>
    <t>REQ150</t>
  </si>
  <si>
    <t>E150</t>
  </si>
  <si>
    <t>REQ151</t>
  </si>
  <si>
    <t>E151</t>
  </si>
  <si>
    <t>REQ152</t>
  </si>
  <si>
    <t>E152</t>
  </si>
  <si>
    <t>REQ153</t>
  </si>
  <si>
    <t>E153</t>
  </si>
  <si>
    <t>REQ154</t>
  </si>
  <si>
    <t>E154</t>
  </si>
  <si>
    <t>REQ155</t>
  </si>
  <si>
    <t>E155</t>
  </si>
  <si>
    <t>REQ156</t>
  </si>
  <si>
    <t>E156</t>
  </si>
  <si>
    <t>REQ157</t>
  </si>
  <si>
    <t>E157</t>
  </si>
  <si>
    <t>REQ158</t>
  </si>
  <si>
    <t>E158</t>
  </si>
  <si>
    <t>REQ159</t>
  </si>
  <si>
    <t>E159</t>
  </si>
  <si>
    <t>REQ160</t>
  </si>
  <si>
    <t>E160</t>
  </si>
  <si>
    <t>REQ161</t>
  </si>
  <si>
    <t>E161</t>
  </si>
  <si>
    <t>REQ162</t>
  </si>
  <si>
    <t>E162</t>
  </si>
  <si>
    <t>REQ163</t>
  </si>
  <si>
    <t>E163</t>
  </si>
  <si>
    <t>REQ164</t>
  </si>
  <si>
    <t>E164</t>
  </si>
  <si>
    <t>REQ165</t>
  </si>
  <si>
    <t>E165</t>
  </si>
  <si>
    <t>REQ166</t>
  </si>
  <si>
    <t>E166</t>
  </si>
  <si>
    <t>REQ167</t>
  </si>
  <si>
    <t>E167</t>
  </si>
  <si>
    <t>REQ168</t>
  </si>
  <si>
    <t>E168</t>
  </si>
  <si>
    <t>REQ169</t>
  </si>
  <si>
    <t>E169</t>
  </si>
  <si>
    <t>REQ170</t>
  </si>
  <si>
    <t>E170</t>
  </si>
  <si>
    <t>REQ171</t>
  </si>
  <si>
    <t>E171</t>
  </si>
  <si>
    <t>REQ172</t>
  </si>
  <si>
    <t>E172</t>
  </si>
  <si>
    <t>REQ173</t>
  </si>
  <si>
    <t>E173</t>
  </si>
  <si>
    <t>REQ174</t>
  </si>
  <si>
    <t>E174</t>
  </si>
  <si>
    <t>REQ175</t>
  </si>
  <si>
    <t>E175</t>
  </si>
  <si>
    <t>REQ176</t>
  </si>
  <si>
    <t>E176</t>
  </si>
  <si>
    <t>REQ177</t>
  </si>
  <si>
    <t>E177</t>
  </si>
  <si>
    <t>REQ178</t>
  </si>
  <si>
    <t>E178</t>
  </si>
  <si>
    <t>REQ179</t>
  </si>
  <si>
    <t>E179</t>
  </si>
  <si>
    <t>REQ180</t>
  </si>
  <si>
    <t>E180</t>
  </si>
  <si>
    <t>REQ181</t>
  </si>
  <si>
    <t>E181</t>
  </si>
  <si>
    <t>REQ182</t>
  </si>
  <si>
    <t>E182</t>
  </si>
  <si>
    <t>REQ183</t>
  </si>
  <si>
    <t>E183</t>
  </si>
  <si>
    <t>REQ184</t>
  </si>
  <si>
    <t>E184</t>
  </si>
  <si>
    <t>REQ185</t>
  </si>
  <si>
    <t>E185</t>
  </si>
  <si>
    <t>REQ186</t>
  </si>
  <si>
    <t>E186</t>
  </si>
  <si>
    <t>REQ187</t>
  </si>
  <si>
    <t>E187</t>
  </si>
  <si>
    <t>REQ188</t>
  </si>
  <si>
    <t>E188</t>
  </si>
  <si>
    <t>REQ189</t>
  </si>
  <si>
    <t>E189</t>
  </si>
  <si>
    <t>REQ190</t>
  </si>
  <si>
    <t>E190</t>
  </si>
  <si>
    <t>REQ191</t>
  </si>
  <si>
    <t>E191</t>
  </si>
  <si>
    <t>REQ192</t>
  </si>
  <si>
    <t>E192</t>
  </si>
  <si>
    <t>REQ193</t>
  </si>
  <si>
    <t>E193</t>
  </si>
  <si>
    <t>REQ194</t>
  </si>
  <si>
    <t>E194</t>
  </si>
  <si>
    <t>REQ195</t>
  </si>
  <si>
    <t>E195</t>
  </si>
  <si>
    <t>REQ196</t>
  </si>
  <si>
    <t>E196</t>
  </si>
  <si>
    <t>REQ197</t>
  </si>
  <si>
    <t>E197</t>
  </si>
  <si>
    <t>REQ198</t>
  </si>
  <si>
    <t>E198</t>
  </si>
  <si>
    <t>REQ199</t>
  </si>
  <si>
    <t>E199</t>
  </si>
  <si>
    <t>REQ200</t>
  </si>
  <si>
    <t>E200</t>
  </si>
  <si>
    <t>Exercise 1 – Time to Fill</t>
  </si>
  <si>
    <t>Calculate Time to Fill for every position.</t>
  </si>
  <si>
    <t>Find the average Time to Fill.</t>
  </si>
  <si>
    <t>Find the maximum Time to Fill.</t>
  </si>
  <si>
    <t>Find the minimum Time to Fill.</t>
  </si>
  <si>
    <t>HIRE DATE - OPEN DATE</t>
  </si>
  <si>
    <t xml:space="preserve">COLUMN F </t>
  </si>
  <si>
    <t>Exercise 2 – Cost per Hire</t>
  </si>
  <si>
    <t>Calculate average recruitment cost.</t>
  </si>
  <si>
    <t>Calculate total recruitment cost.</t>
  </si>
  <si>
    <t>Identify the most expensive hire.</t>
  </si>
  <si>
    <t>Exercise 3 – Recruitment Source Analysis</t>
  </si>
  <si>
    <t>Which source produced the most hires?</t>
  </si>
  <si>
    <t>Which source produced the least hires?</t>
  </si>
  <si>
    <t>Which source has the lowest recruitment cost?</t>
  </si>
  <si>
    <t>Which source has the highest recruitment cost?</t>
  </si>
  <si>
    <t>Exercise 4 – Offer Acceptance Rate</t>
  </si>
  <si>
    <t>Calculate acceptance rate for each hiring source.</t>
  </si>
  <si>
    <t>Which source has the highest acceptance rate?</t>
  </si>
  <si>
    <t>OFFER ACCEPTED/OFFER MADE</t>
  </si>
  <si>
    <t>Exercise 4 – Training Hours Analysis</t>
  </si>
  <si>
    <t>Total Training Hours</t>
  </si>
  <si>
    <t>Average Training Hours</t>
  </si>
  <si>
    <t>Highest Training Hours</t>
  </si>
  <si>
    <t>Lowest Training Hours</t>
  </si>
  <si>
    <t>Exercise 5 – Training Cost Analysis</t>
  </si>
  <si>
    <t>Total Training Cost</t>
  </si>
  <si>
    <t>Average Training Cost</t>
  </si>
  <si>
    <t>Department-wise Training Cost</t>
  </si>
  <si>
    <t>Exercise 6 – Learning Improvement %</t>
  </si>
  <si>
    <t>Calculate learning improvement.</t>
  </si>
  <si>
    <t>Identify employees with highest improvement.</t>
  </si>
  <si>
    <t xml:space="preserve">post test-pre test </t>
  </si>
  <si>
    <t>Find average improvement by department.</t>
  </si>
  <si>
    <t>Exercise 7 – Training Effectiveness</t>
  </si>
  <si>
    <t>Compare Training Hours vs Performance Score.</t>
  </si>
  <si>
    <t>Create Scatter Plot.</t>
  </si>
  <si>
    <t>+0.70 to +1.00</t>
  </si>
  <si>
    <t>Strong positive relationship</t>
  </si>
  <si>
    <t>+0.30 to +0.69</t>
  </si>
  <si>
    <t>Moderate positive relationship</t>
  </si>
  <si>
    <t>0 to +0.29</t>
  </si>
  <si>
    <t>Weak positive relationship</t>
  </si>
  <si>
    <t>No linear relationship</t>
  </si>
  <si>
    <t>-0.29 to 0</t>
  </si>
  <si>
    <t>Weak negative relationship</t>
  </si>
  <si>
    <t>-0.69 to -0.30</t>
  </si>
  <si>
    <t>Moderate negative relationship</t>
  </si>
  <si>
    <t>-1.00 to -0.70</t>
  </si>
  <si>
    <t>Strong negative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</si>
</sst>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F4761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2" fontId="0" fillId="2" borderId="0" xfId="0" applyNumberFormat="1" applyFill="1"/>
    <xf numFmtId="164" fontId="0" fillId="3" borderId="0" xfId="1" applyNumberFormat="1" applyFont="1" applyFill="1"/>
    <xf numFmtId="0" fontId="2" fillId="0" borderId="0" xfId="0" applyFont="1" applyAlignment="1">
      <alignment vertical="center"/>
    </xf>
    <xf numFmtId="2" fontId="0" fillId="0" borderId="0" xfId="0" applyNumberFormat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accent1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Learning Improvement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accent1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[1]Data!$S$1</c:f>
              <c:strCache>
                <c:ptCount val="1"/>
                <c:pt idx="0">
                  <c:v>Learning Imp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2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[1]Data!$N$2:$N$201</c:f>
              <c:numCache>
                <c:formatCode>General</c:formatCode>
                <c:ptCount val="200"/>
                <c:pt idx="0">
                  <c:v>41</c:v>
                </c:pt>
                <c:pt idx="1">
                  <c:v>9</c:v>
                </c:pt>
                <c:pt idx="2">
                  <c:v>38</c:v>
                </c:pt>
                <c:pt idx="3">
                  <c:v>17</c:v>
                </c:pt>
                <c:pt idx="4">
                  <c:v>22</c:v>
                </c:pt>
                <c:pt idx="5">
                  <c:v>9</c:v>
                </c:pt>
                <c:pt idx="6">
                  <c:v>57</c:v>
                </c:pt>
                <c:pt idx="7">
                  <c:v>49</c:v>
                </c:pt>
                <c:pt idx="8">
                  <c:v>14</c:v>
                </c:pt>
                <c:pt idx="9">
                  <c:v>72</c:v>
                </c:pt>
                <c:pt idx="10">
                  <c:v>78</c:v>
                </c:pt>
                <c:pt idx="11">
                  <c:v>10</c:v>
                </c:pt>
                <c:pt idx="12">
                  <c:v>56</c:v>
                </c:pt>
                <c:pt idx="13">
                  <c:v>72</c:v>
                </c:pt>
                <c:pt idx="14">
                  <c:v>52</c:v>
                </c:pt>
                <c:pt idx="15">
                  <c:v>30</c:v>
                </c:pt>
                <c:pt idx="16">
                  <c:v>33</c:v>
                </c:pt>
                <c:pt idx="17">
                  <c:v>64</c:v>
                </c:pt>
                <c:pt idx="18">
                  <c:v>23</c:v>
                </c:pt>
                <c:pt idx="19">
                  <c:v>78</c:v>
                </c:pt>
                <c:pt idx="20">
                  <c:v>56</c:v>
                </c:pt>
                <c:pt idx="21">
                  <c:v>1</c:v>
                </c:pt>
                <c:pt idx="22">
                  <c:v>73</c:v>
                </c:pt>
                <c:pt idx="23">
                  <c:v>64</c:v>
                </c:pt>
                <c:pt idx="24">
                  <c:v>72</c:v>
                </c:pt>
                <c:pt idx="25">
                  <c:v>34</c:v>
                </c:pt>
                <c:pt idx="26">
                  <c:v>44</c:v>
                </c:pt>
                <c:pt idx="27">
                  <c:v>29</c:v>
                </c:pt>
                <c:pt idx="28">
                  <c:v>48</c:v>
                </c:pt>
                <c:pt idx="29">
                  <c:v>65</c:v>
                </c:pt>
                <c:pt idx="30">
                  <c:v>18</c:v>
                </c:pt>
                <c:pt idx="31">
                  <c:v>21</c:v>
                </c:pt>
                <c:pt idx="32">
                  <c:v>25</c:v>
                </c:pt>
                <c:pt idx="33">
                  <c:v>71</c:v>
                </c:pt>
                <c:pt idx="34">
                  <c:v>55</c:v>
                </c:pt>
                <c:pt idx="35">
                  <c:v>47</c:v>
                </c:pt>
                <c:pt idx="36">
                  <c:v>3</c:v>
                </c:pt>
                <c:pt idx="37">
                  <c:v>32</c:v>
                </c:pt>
                <c:pt idx="38">
                  <c:v>1</c:v>
                </c:pt>
                <c:pt idx="39">
                  <c:v>74</c:v>
                </c:pt>
                <c:pt idx="40">
                  <c:v>70</c:v>
                </c:pt>
                <c:pt idx="41">
                  <c:v>21</c:v>
                </c:pt>
                <c:pt idx="42">
                  <c:v>57</c:v>
                </c:pt>
                <c:pt idx="43">
                  <c:v>58</c:v>
                </c:pt>
                <c:pt idx="44">
                  <c:v>35</c:v>
                </c:pt>
                <c:pt idx="45">
                  <c:v>26</c:v>
                </c:pt>
                <c:pt idx="46">
                  <c:v>61</c:v>
                </c:pt>
                <c:pt idx="47">
                  <c:v>61</c:v>
                </c:pt>
                <c:pt idx="48">
                  <c:v>19</c:v>
                </c:pt>
                <c:pt idx="49">
                  <c:v>76</c:v>
                </c:pt>
                <c:pt idx="50">
                  <c:v>40</c:v>
                </c:pt>
                <c:pt idx="51">
                  <c:v>73</c:v>
                </c:pt>
                <c:pt idx="52">
                  <c:v>32</c:v>
                </c:pt>
                <c:pt idx="53">
                  <c:v>29</c:v>
                </c:pt>
                <c:pt idx="54">
                  <c:v>65</c:v>
                </c:pt>
                <c:pt idx="55">
                  <c:v>44</c:v>
                </c:pt>
                <c:pt idx="56">
                  <c:v>44</c:v>
                </c:pt>
                <c:pt idx="57">
                  <c:v>4</c:v>
                </c:pt>
                <c:pt idx="58">
                  <c:v>49</c:v>
                </c:pt>
                <c:pt idx="59">
                  <c:v>48</c:v>
                </c:pt>
                <c:pt idx="60">
                  <c:v>63</c:v>
                </c:pt>
                <c:pt idx="61">
                  <c:v>17</c:v>
                </c:pt>
                <c:pt idx="62">
                  <c:v>53</c:v>
                </c:pt>
                <c:pt idx="63">
                  <c:v>77</c:v>
                </c:pt>
                <c:pt idx="64">
                  <c:v>4</c:v>
                </c:pt>
                <c:pt idx="65">
                  <c:v>24</c:v>
                </c:pt>
                <c:pt idx="66">
                  <c:v>19</c:v>
                </c:pt>
                <c:pt idx="67">
                  <c:v>73</c:v>
                </c:pt>
                <c:pt idx="68">
                  <c:v>20</c:v>
                </c:pt>
                <c:pt idx="69">
                  <c:v>53</c:v>
                </c:pt>
                <c:pt idx="70">
                  <c:v>6</c:v>
                </c:pt>
                <c:pt idx="71">
                  <c:v>76</c:v>
                </c:pt>
                <c:pt idx="72">
                  <c:v>26</c:v>
                </c:pt>
                <c:pt idx="73">
                  <c:v>19</c:v>
                </c:pt>
                <c:pt idx="74">
                  <c:v>10</c:v>
                </c:pt>
                <c:pt idx="75">
                  <c:v>7</c:v>
                </c:pt>
                <c:pt idx="76">
                  <c:v>68</c:v>
                </c:pt>
                <c:pt idx="77">
                  <c:v>14</c:v>
                </c:pt>
                <c:pt idx="78">
                  <c:v>46</c:v>
                </c:pt>
                <c:pt idx="79">
                  <c:v>74</c:v>
                </c:pt>
                <c:pt idx="80">
                  <c:v>24</c:v>
                </c:pt>
                <c:pt idx="81">
                  <c:v>53</c:v>
                </c:pt>
                <c:pt idx="82">
                  <c:v>8</c:v>
                </c:pt>
                <c:pt idx="83">
                  <c:v>78</c:v>
                </c:pt>
                <c:pt idx="84">
                  <c:v>56</c:v>
                </c:pt>
                <c:pt idx="85">
                  <c:v>37</c:v>
                </c:pt>
                <c:pt idx="86">
                  <c:v>43</c:v>
                </c:pt>
                <c:pt idx="87">
                  <c:v>67</c:v>
                </c:pt>
                <c:pt idx="88">
                  <c:v>77</c:v>
                </c:pt>
                <c:pt idx="89">
                  <c:v>35</c:v>
                </c:pt>
                <c:pt idx="90">
                  <c:v>34</c:v>
                </c:pt>
                <c:pt idx="91">
                  <c:v>47</c:v>
                </c:pt>
                <c:pt idx="92">
                  <c:v>67</c:v>
                </c:pt>
                <c:pt idx="93">
                  <c:v>9</c:v>
                </c:pt>
                <c:pt idx="94">
                  <c:v>23</c:v>
                </c:pt>
                <c:pt idx="95">
                  <c:v>54</c:v>
                </c:pt>
                <c:pt idx="96">
                  <c:v>78</c:v>
                </c:pt>
                <c:pt idx="97">
                  <c:v>28</c:v>
                </c:pt>
                <c:pt idx="98">
                  <c:v>23</c:v>
                </c:pt>
                <c:pt idx="99">
                  <c:v>50</c:v>
                </c:pt>
                <c:pt idx="100">
                  <c:v>79</c:v>
                </c:pt>
                <c:pt idx="101">
                  <c:v>76</c:v>
                </c:pt>
                <c:pt idx="102">
                  <c:v>76</c:v>
                </c:pt>
                <c:pt idx="103">
                  <c:v>27</c:v>
                </c:pt>
                <c:pt idx="104">
                  <c:v>25</c:v>
                </c:pt>
                <c:pt idx="105">
                  <c:v>5</c:v>
                </c:pt>
                <c:pt idx="106">
                  <c:v>32</c:v>
                </c:pt>
                <c:pt idx="107">
                  <c:v>2</c:v>
                </c:pt>
                <c:pt idx="108">
                  <c:v>63</c:v>
                </c:pt>
                <c:pt idx="109">
                  <c:v>21</c:v>
                </c:pt>
                <c:pt idx="110">
                  <c:v>53</c:v>
                </c:pt>
                <c:pt idx="111">
                  <c:v>4</c:v>
                </c:pt>
                <c:pt idx="112">
                  <c:v>37</c:v>
                </c:pt>
                <c:pt idx="113">
                  <c:v>17</c:v>
                </c:pt>
                <c:pt idx="114">
                  <c:v>19</c:v>
                </c:pt>
                <c:pt idx="115">
                  <c:v>34</c:v>
                </c:pt>
                <c:pt idx="116">
                  <c:v>52</c:v>
                </c:pt>
                <c:pt idx="117">
                  <c:v>22</c:v>
                </c:pt>
                <c:pt idx="118">
                  <c:v>2</c:v>
                </c:pt>
                <c:pt idx="119">
                  <c:v>47</c:v>
                </c:pt>
                <c:pt idx="120">
                  <c:v>79</c:v>
                </c:pt>
                <c:pt idx="121">
                  <c:v>19</c:v>
                </c:pt>
                <c:pt idx="122">
                  <c:v>51</c:v>
                </c:pt>
                <c:pt idx="123">
                  <c:v>17</c:v>
                </c:pt>
                <c:pt idx="124">
                  <c:v>51</c:v>
                </c:pt>
                <c:pt idx="125">
                  <c:v>57</c:v>
                </c:pt>
                <c:pt idx="126">
                  <c:v>10</c:v>
                </c:pt>
                <c:pt idx="127">
                  <c:v>48</c:v>
                </c:pt>
                <c:pt idx="128">
                  <c:v>33</c:v>
                </c:pt>
                <c:pt idx="129">
                  <c:v>56</c:v>
                </c:pt>
                <c:pt idx="130">
                  <c:v>16</c:v>
                </c:pt>
                <c:pt idx="131">
                  <c:v>44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28</c:v>
                </c:pt>
                <c:pt idx="136">
                  <c:v>1</c:v>
                </c:pt>
                <c:pt idx="137">
                  <c:v>43</c:v>
                </c:pt>
                <c:pt idx="138">
                  <c:v>62</c:v>
                </c:pt>
                <c:pt idx="139">
                  <c:v>16</c:v>
                </c:pt>
                <c:pt idx="140">
                  <c:v>62</c:v>
                </c:pt>
                <c:pt idx="141">
                  <c:v>3</c:v>
                </c:pt>
                <c:pt idx="142">
                  <c:v>20</c:v>
                </c:pt>
                <c:pt idx="143">
                  <c:v>68</c:v>
                </c:pt>
                <c:pt idx="144">
                  <c:v>10</c:v>
                </c:pt>
                <c:pt idx="145">
                  <c:v>54</c:v>
                </c:pt>
                <c:pt idx="146">
                  <c:v>36</c:v>
                </c:pt>
                <c:pt idx="147">
                  <c:v>56</c:v>
                </c:pt>
                <c:pt idx="148">
                  <c:v>73</c:v>
                </c:pt>
                <c:pt idx="149">
                  <c:v>54</c:v>
                </c:pt>
                <c:pt idx="150">
                  <c:v>3</c:v>
                </c:pt>
                <c:pt idx="151">
                  <c:v>72</c:v>
                </c:pt>
                <c:pt idx="152">
                  <c:v>10</c:v>
                </c:pt>
                <c:pt idx="153">
                  <c:v>66</c:v>
                </c:pt>
                <c:pt idx="154">
                  <c:v>1</c:v>
                </c:pt>
                <c:pt idx="155">
                  <c:v>73</c:v>
                </c:pt>
                <c:pt idx="156">
                  <c:v>13</c:v>
                </c:pt>
                <c:pt idx="157">
                  <c:v>63</c:v>
                </c:pt>
                <c:pt idx="158">
                  <c:v>32</c:v>
                </c:pt>
                <c:pt idx="159">
                  <c:v>22</c:v>
                </c:pt>
                <c:pt idx="160">
                  <c:v>58</c:v>
                </c:pt>
                <c:pt idx="161">
                  <c:v>67</c:v>
                </c:pt>
                <c:pt idx="162">
                  <c:v>66</c:v>
                </c:pt>
                <c:pt idx="163">
                  <c:v>77</c:v>
                </c:pt>
                <c:pt idx="164">
                  <c:v>6</c:v>
                </c:pt>
                <c:pt idx="165">
                  <c:v>33</c:v>
                </c:pt>
                <c:pt idx="166">
                  <c:v>0</c:v>
                </c:pt>
                <c:pt idx="167">
                  <c:v>35</c:v>
                </c:pt>
                <c:pt idx="168">
                  <c:v>78</c:v>
                </c:pt>
                <c:pt idx="169">
                  <c:v>76</c:v>
                </c:pt>
                <c:pt idx="170">
                  <c:v>75</c:v>
                </c:pt>
                <c:pt idx="171">
                  <c:v>42</c:v>
                </c:pt>
                <c:pt idx="172">
                  <c:v>11</c:v>
                </c:pt>
                <c:pt idx="173">
                  <c:v>21</c:v>
                </c:pt>
                <c:pt idx="174">
                  <c:v>56</c:v>
                </c:pt>
                <c:pt idx="175">
                  <c:v>15</c:v>
                </c:pt>
                <c:pt idx="176">
                  <c:v>39</c:v>
                </c:pt>
                <c:pt idx="177">
                  <c:v>76</c:v>
                </c:pt>
                <c:pt idx="178">
                  <c:v>56</c:v>
                </c:pt>
                <c:pt idx="179">
                  <c:v>41</c:v>
                </c:pt>
                <c:pt idx="180">
                  <c:v>46</c:v>
                </c:pt>
                <c:pt idx="181">
                  <c:v>11</c:v>
                </c:pt>
                <c:pt idx="182">
                  <c:v>35</c:v>
                </c:pt>
                <c:pt idx="183">
                  <c:v>67</c:v>
                </c:pt>
                <c:pt idx="184">
                  <c:v>17</c:v>
                </c:pt>
                <c:pt idx="185">
                  <c:v>6</c:v>
                </c:pt>
                <c:pt idx="186">
                  <c:v>59</c:v>
                </c:pt>
                <c:pt idx="187">
                  <c:v>41</c:v>
                </c:pt>
                <c:pt idx="188">
                  <c:v>53</c:v>
                </c:pt>
                <c:pt idx="189">
                  <c:v>50</c:v>
                </c:pt>
                <c:pt idx="190">
                  <c:v>8</c:v>
                </c:pt>
                <c:pt idx="191">
                  <c:v>5</c:v>
                </c:pt>
                <c:pt idx="192">
                  <c:v>18</c:v>
                </c:pt>
                <c:pt idx="193">
                  <c:v>79</c:v>
                </c:pt>
                <c:pt idx="194">
                  <c:v>71</c:v>
                </c:pt>
                <c:pt idx="195">
                  <c:v>40</c:v>
                </c:pt>
                <c:pt idx="196">
                  <c:v>18</c:v>
                </c:pt>
                <c:pt idx="197">
                  <c:v>70</c:v>
                </c:pt>
                <c:pt idx="198">
                  <c:v>30</c:v>
                </c:pt>
                <c:pt idx="199">
                  <c:v>19</c:v>
                </c:pt>
              </c:numCache>
            </c:numRef>
          </c:xVal>
          <c:yVal>
            <c:numRef>
              <c:f>[1]Data!$S$2:$S$201</c:f>
              <c:numCache>
                <c:formatCode>General</c:formatCode>
                <c:ptCount val="200"/>
                <c:pt idx="0">
                  <c:v>2</c:v>
                </c:pt>
                <c:pt idx="1">
                  <c:v>1</c:v>
                </c:pt>
                <c:pt idx="2">
                  <c:v>22</c:v>
                </c:pt>
                <c:pt idx="3">
                  <c:v>30</c:v>
                </c:pt>
                <c:pt idx="4">
                  <c:v>23</c:v>
                </c:pt>
                <c:pt idx="5">
                  <c:v>13</c:v>
                </c:pt>
                <c:pt idx="6">
                  <c:v>25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25</c:v>
                </c:pt>
                <c:pt idx="11">
                  <c:v>16</c:v>
                </c:pt>
                <c:pt idx="12">
                  <c:v>10</c:v>
                </c:pt>
                <c:pt idx="13">
                  <c:v>4</c:v>
                </c:pt>
                <c:pt idx="14">
                  <c:v>3</c:v>
                </c:pt>
                <c:pt idx="15">
                  <c:v>15</c:v>
                </c:pt>
                <c:pt idx="16">
                  <c:v>20</c:v>
                </c:pt>
                <c:pt idx="17">
                  <c:v>17</c:v>
                </c:pt>
                <c:pt idx="18">
                  <c:v>2</c:v>
                </c:pt>
                <c:pt idx="19">
                  <c:v>16</c:v>
                </c:pt>
                <c:pt idx="20">
                  <c:v>17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17</c:v>
                </c:pt>
                <c:pt idx="25">
                  <c:v>10</c:v>
                </c:pt>
                <c:pt idx="26">
                  <c:v>28</c:v>
                </c:pt>
                <c:pt idx="27">
                  <c:v>26</c:v>
                </c:pt>
                <c:pt idx="28">
                  <c:v>9</c:v>
                </c:pt>
                <c:pt idx="29">
                  <c:v>10</c:v>
                </c:pt>
                <c:pt idx="30">
                  <c:v>10</c:v>
                </c:pt>
                <c:pt idx="31">
                  <c:v>26</c:v>
                </c:pt>
                <c:pt idx="32">
                  <c:v>6</c:v>
                </c:pt>
                <c:pt idx="33">
                  <c:v>5</c:v>
                </c:pt>
                <c:pt idx="34">
                  <c:v>2</c:v>
                </c:pt>
                <c:pt idx="35">
                  <c:v>6</c:v>
                </c:pt>
                <c:pt idx="36">
                  <c:v>20</c:v>
                </c:pt>
                <c:pt idx="37">
                  <c:v>17</c:v>
                </c:pt>
                <c:pt idx="38">
                  <c:v>28</c:v>
                </c:pt>
                <c:pt idx="39">
                  <c:v>22</c:v>
                </c:pt>
                <c:pt idx="40">
                  <c:v>28</c:v>
                </c:pt>
                <c:pt idx="41">
                  <c:v>5</c:v>
                </c:pt>
                <c:pt idx="42">
                  <c:v>3</c:v>
                </c:pt>
                <c:pt idx="43">
                  <c:v>16</c:v>
                </c:pt>
                <c:pt idx="44">
                  <c:v>10</c:v>
                </c:pt>
                <c:pt idx="45">
                  <c:v>18</c:v>
                </c:pt>
                <c:pt idx="46">
                  <c:v>9</c:v>
                </c:pt>
                <c:pt idx="47">
                  <c:v>9</c:v>
                </c:pt>
                <c:pt idx="48">
                  <c:v>0</c:v>
                </c:pt>
                <c:pt idx="49">
                  <c:v>17</c:v>
                </c:pt>
                <c:pt idx="50">
                  <c:v>17</c:v>
                </c:pt>
                <c:pt idx="51">
                  <c:v>5</c:v>
                </c:pt>
                <c:pt idx="52">
                  <c:v>1</c:v>
                </c:pt>
                <c:pt idx="53">
                  <c:v>15</c:v>
                </c:pt>
                <c:pt idx="54">
                  <c:v>1</c:v>
                </c:pt>
                <c:pt idx="55">
                  <c:v>8</c:v>
                </c:pt>
                <c:pt idx="56">
                  <c:v>7</c:v>
                </c:pt>
                <c:pt idx="57">
                  <c:v>5</c:v>
                </c:pt>
                <c:pt idx="58">
                  <c:v>13</c:v>
                </c:pt>
                <c:pt idx="59">
                  <c:v>24</c:v>
                </c:pt>
                <c:pt idx="60">
                  <c:v>14</c:v>
                </c:pt>
                <c:pt idx="61">
                  <c:v>14</c:v>
                </c:pt>
                <c:pt idx="62">
                  <c:v>7</c:v>
                </c:pt>
                <c:pt idx="63">
                  <c:v>15</c:v>
                </c:pt>
                <c:pt idx="64">
                  <c:v>18</c:v>
                </c:pt>
                <c:pt idx="65">
                  <c:v>28</c:v>
                </c:pt>
                <c:pt idx="66">
                  <c:v>21</c:v>
                </c:pt>
                <c:pt idx="67">
                  <c:v>30</c:v>
                </c:pt>
                <c:pt idx="68">
                  <c:v>10</c:v>
                </c:pt>
                <c:pt idx="69">
                  <c:v>26</c:v>
                </c:pt>
                <c:pt idx="70">
                  <c:v>6</c:v>
                </c:pt>
                <c:pt idx="71">
                  <c:v>24</c:v>
                </c:pt>
                <c:pt idx="72">
                  <c:v>20</c:v>
                </c:pt>
                <c:pt idx="73">
                  <c:v>20</c:v>
                </c:pt>
                <c:pt idx="74">
                  <c:v>15</c:v>
                </c:pt>
                <c:pt idx="75">
                  <c:v>24</c:v>
                </c:pt>
                <c:pt idx="76">
                  <c:v>28</c:v>
                </c:pt>
                <c:pt idx="77">
                  <c:v>18</c:v>
                </c:pt>
                <c:pt idx="78">
                  <c:v>2</c:v>
                </c:pt>
                <c:pt idx="79">
                  <c:v>30</c:v>
                </c:pt>
                <c:pt idx="80">
                  <c:v>7</c:v>
                </c:pt>
                <c:pt idx="81">
                  <c:v>4</c:v>
                </c:pt>
                <c:pt idx="82">
                  <c:v>15</c:v>
                </c:pt>
                <c:pt idx="83">
                  <c:v>20</c:v>
                </c:pt>
                <c:pt idx="84">
                  <c:v>19</c:v>
                </c:pt>
                <c:pt idx="85">
                  <c:v>11</c:v>
                </c:pt>
                <c:pt idx="86">
                  <c:v>8</c:v>
                </c:pt>
                <c:pt idx="87">
                  <c:v>22</c:v>
                </c:pt>
                <c:pt idx="88">
                  <c:v>21</c:v>
                </c:pt>
                <c:pt idx="89">
                  <c:v>24</c:v>
                </c:pt>
                <c:pt idx="90">
                  <c:v>27</c:v>
                </c:pt>
                <c:pt idx="91">
                  <c:v>4</c:v>
                </c:pt>
                <c:pt idx="92">
                  <c:v>12</c:v>
                </c:pt>
                <c:pt idx="93">
                  <c:v>5</c:v>
                </c:pt>
                <c:pt idx="94">
                  <c:v>5</c:v>
                </c:pt>
                <c:pt idx="95">
                  <c:v>8</c:v>
                </c:pt>
                <c:pt idx="96">
                  <c:v>11</c:v>
                </c:pt>
                <c:pt idx="97">
                  <c:v>19</c:v>
                </c:pt>
                <c:pt idx="98">
                  <c:v>13</c:v>
                </c:pt>
                <c:pt idx="99">
                  <c:v>28</c:v>
                </c:pt>
                <c:pt idx="100">
                  <c:v>23</c:v>
                </c:pt>
                <c:pt idx="101">
                  <c:v>14</c:v>
                </c:pt>
                <c:pt idx="102">
                  <c:v>17</c:v>
                </c:pt>
                <c:pt idx="103">
                  <c:v>15</c:v>
                </c:pt>
                <c:pt idx="104">
                  <c:v>28</c:v>
                </c:pt>
                <c:pt idx="105">
                  <c:v>20</c:v>
                </c:pt>
                <c:pt idx="106">
                  <c:v>20</c:v>
                </c:pt>
                <c:pt idx="107">
                  <c:v>16</c:v>
                </c:pt>
                <c:pt idx="108">
                  <c:v>19</c:v>
                </c:pt>
                <c:pt idx="109">
                  <c:v>29</c:v>
                </c:pt>
                <c:pt idx="110">
                  <c:v>28</c:v>
                </c:pt>
                <c:pt idx="111">
                  <c:v>23</c:v>
                </c:pt>
                <c:pt idx="112">
                  <c:v>24</c:v>
                </c:pt>
                <c:pt idx="113">
                  <c:v>10</c:v>
                </c:pt>
                <c:pt idx="114">
                  <c:v>7</c:v>
                </c:pt>
                <c:pt idx="115">
                  <c:v>9</c:v>
                </c:pt>
                <c:pt idx="116">
                  <c:v>18</c:v>
                </c:pt>
                <c:pt idx="117">
                  <c:v>12</c:v>
                </c:pt>
                <c:pt idx="118">
                  <c:v>28</c:v>
                </c:pt>
                <c:pt idx="119">
                  <c:v>27</c:v>
                </c:pt>
                <c:pt idx="120">
                  <c:v>11</c:v>
                </c:pt>
                <c:pt idx="121">
                  <c:v>23</c:v>
                </c:pt>
                <c:pt idx="122">
                  <c:v>18</c:v>
                </c:pt>
                <c:pt idx="123">
                  <c:v>21</c:v>
                </c:pt>
                <c:pt idx="124">
                  <c:v>15</c:v>
                </c:pt>
                <c:pt idx="125">
                  <c:v>21</c:v>
                </c:pt>
                <c:pt idx="126">
                  <c:v>14</c:v>
                </c:pt>
                <c:pt idx="127">
                  <c:v>27</c:v>
                </c:pt>
                <c:pt idx="128">
                  <c:v>23</c:v>
                </c:pt>
                <c:pt idx="129">
                  <c:v>0</c:v>
                </c:pt>
                <c:pt idx="130">
                  <c:v>3</c:v>
                </c:pt>
                <c:pt idx="131">
                  <c:v>29</c:v>
                </c:pt>
                <c:pt idx="132">
                  <c:v>15</c:v>
                </c:pt>
                <c:pt idx="133">
                  <c:v>1</c:v>
                </c:pt>
                <c:pt idx="134">
                  <c:v>6</c:v>
                </c:pt>
                <c:pt idx="135">
                  <c:v>26</c:v>
                </c:pt>
                <c:pt idx="136">
                  <c:v>9</c:v>
                </c:pt>
                <c:pt idx="137">
                  <c:v>29</c:v>
                </c:pt>
                <c:pt idx="138">
                  <c:v>10</c:v>
                </c:pt>
                <c:pt idx="139">
                  <c:v>6</c:v>
                </c:pt>
                <c:pt idx="140">
                  <c:v>5</c:v>
                </c:pt>
                <c:pt idx="141">
                  <c:v>0</c:v>
                </c:pt>
                <c:pt idx="142">
                  <c:v>0</c:v>
                </c:pt>
                <c:pt idx="143">
                  <c:v>25</c:v>
                </c:pt>
                <c:pt idx="144">
                  <c:v>25</c:v>
                </c:pt>
                <c:pt idx="145">
                  <c:v>4</c:v>
                </c:pt>
                <c:pt idx="146">
                  <c:v>14</c:v>
                </c:pt>
                <c:pt idx="147">
                  <c:v>12</c:v>
                </c:pt>
                <c:pt idx="148">
                  <c:v>26</c:v>
                </c:pt>
                <c:pt idx="149">
                  <c:v>19</c:v>
                </c:pt>
                <c:pt idx="150">
                  <c:v>10</c:v>
                </c:pt>
                <c:pt idx="151">
                  <c:v>13</c:v>
                </c:pt>
                <c:pt idx="152">
                  <c:v>23</c:v>
                </c:pt>
                <c:pt idx="153">
                  <c:v>11</c:v>
                </c:pt>
                <c:pt idx="154">
                  <c:v>6</c:v>
                </c:pt>
                <c:pt idx="155">
                  <c:v>22</c:v>
                </c:pt>
                <c:pt idx="156">
                  <c:v>27</c:v>
                </c:pt>
                <c:pt idx="157">
                  <c:v>4</c:v>
                </c:pt>
                <c:pt idx="158">
                  <c:v>3</c:v>
                </c:pt>
                <c:pt idx="159">
                  <c:v>0</c:v>
                </c:pt>
                <c:pt idx="160">
                  <c:v>6</c:v>
                </c:pt>
                <c:pt idx="161">
                  <c:v>2</c:v>
                </c:pt>
                <c:pt idx="162">
                  <c:v>20</c:v>
                </c:pt>
                <c:pt idx="163">
                  <c:v>10</c:v>
                </c:pt>
                <c:pt idx="164">
                  <c:v>22</c:v>
                </c:pt>
                <c:pt idx="165">
                  <c:v>23</c:v>
                </c:pt>
                <c:pt idx="166">
                  <c:v>2</c:v>
                </c:pt>
                <c:pt idx="167">
                  <c:v>4</c:v>
                </c:pt>
                <c:pt idx="168">
                  <c:v>14</c:v>
                </c:pt>
                <c:pt idx="169">
                  <c:v>3</c:v>
                </c:pt>
                <c:pt idx="170">
                  <c:v>5</c:v>
                </c:pt>
                <c:pt idx="171">
                  <c:v>2</c:v>
                </c:pt>
                <c:pt idx="172">
                  <c:v>0</c:v>
                </c:pt>
                <c:pt idx="173">
                  <c:v>4</c:v>
                </c:pt>
                <c:pt idx="174">
                  <c:v>17</c:v>
                </c:pt>
                <c:pt idx="175">
                  <c:v>18</c:v>
                </c:pt>
                <c:pt idx="176">
                  <c:v>17</c:v>
                </c:pt>
                <c:pt idx="177">
                  <c:v>18</c:v>
                </c:pt>
                <c:pt idx="178">
                  <c:v>10</c:v>
                </c:pt>
                <c:pt idx="179">
                  <c:v>0</c:v>
                </c:pt>
                <c:pt idx="180">
                  <c:v>23</c:v>
                </c:pt>
                <c:pt idx="181">
                  <c:v>3</c:v>
                </c:pt>
                <c:pt idx="182">
                  <c:v>14</c:v>
                </c:pt>
                <c:pt idx="183">
                  <c:v>2</c:v>
                </c:pt>
                <c:pt idx="184">
                  <c:v>25</c:v>
                </c:pt>
                <c:pt idx="185">
                  <c:v>12</c:v>
                </c:pt>
                <c:pt idx="186">
                  <c:v>21</c:v>
                </c:pt>
                <c:pt idx="187">
                  <c:v>16</c:v>
                </c:pt>
                <c:pt idx="188">
                  <c:v>17</c:v>
                </c:pt>
                <c:pt idx="189">
                  <c:v>18</c:v>
                </c:pt>
                <c:pt idx="190">
                  <c:v>19</c:v>
                </c:pt>
                <c:pt idx="191">
                  <c:v>27</c:v>
                </c:pt>
                <c:pt idx="192">
                  <c:v>5</c:v>
                </c:pt>
                <c:pt idx="193">
                  <c:v>3</c:v>
                </c:pt>
                <c:pt idx="194">
                  <c:v>7</c:v>
                </c:pt>
                <c:pt idx="195">
                  <c:v>21</c:v>
                </c:pt>
                <c:pt idx="196">
                  <c:v>15</c:v>
                </c:pt>
                <c:pt idx="197">
                  <c:v>8</c:v>
                </c:pt>
                <c:pt idx="198">
                  <c:v>25</c:v>
                </c:pt>
                <c:pt idx="19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2-4116-89F2-1275FBEE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81408"/>
        <c:axId val="1814894672"/>
      </c:scatterChart>
      <c:valAx>
        <c:axId val="189228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accent1">
                        <a:lumMod val="75000"/>
                      </a:schemeClr>
                    </a:solidFill>
                  </a:rPr>
                  <a:t>Training</a:t>
                </a:r>
                <a:r>
                  <a:rPr lang="en-IN" baseline="0">
                    <a:solidFill>
                      <a:schemeClr val="accent1">
                        <a:lumMod val="75000"/>
                      </a:schemeClr>
                    </a:solidFill>
                  </a:rPr>
                  <a:t> hours</a:t>
                </a:r>
                <a:endParaRPr lang="en-IN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894672"/>
        <c:crosses val="autoZero"/>
        <c:crossBetween val="midCat"/>
      </c:valAx>
      <c:valAx>
        <c:axId val="18148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accent1">
                        <a:lumMod val="75000"/>
                      </a:schemeClr>
                    </a:solidFill>
                  </a:rPr>
                  <a:t>Learning</a:t>
                </a:r>
                <a:r>
                  <a:rPr lang="en-IN" baseline="0">
                    <a:solidFill>
                      <a:schemeClr val="accent1">
                        <a:lumMod val="75000"/>
                      </a:schemeClr>
                    </a:solidFill>
                  </a:rPr>
                  <a:t> improvement</a:t>
                </a:r>
                <a:endParaRPr lang="en-IN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accen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28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102980</xdr:colOff>
      <xdr:row>23</xdr:row>
      <xdr:rowOff>117337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006E4-B905-4CBD-83DC-E469464EC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dhy\Downloads\HR_Analytics_Unit2_200_Records%20with%20solution.xlsx" TargetMode="External"/><Relationship Id="rId1" Type="http://schemas.openxmlformats.org/officeDocument/2006/relationships/externalLinkPath" Target="file:///C:\Users\vidhy\Downloads\HR_Analytics_Unit2_200_Records%20with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olutions"/>
    </sheetNames>
    <sheetDataSet>
      <sheetData sheetId="0">
        <row r="1">
          <cell r="S1" t="str">
            <v>Learning Imp</v>
          </cell>
        </row>
        <row r="2">
          <cell r="N2">
            <v>41</v>
          </cell>
          <cell r="S2">
            <v>2</v>
          </cell>
        </row>
        <row r="3">
          <cell r="N3">
            <v>9</v>
          </cell>
          <cell r="S3">
            <v>1</v>
          </cell>
        </row>
        <row r="4">
          <cell r="N4">
            <v>38</v>
          </cell>
          <cell r="S4">
            <v>22</v>
          </cell>
        </row>
        <row r="5">
          <cell r="N5">
            <v>17</v>
          </cell>
          <cell r="S5">
            <v>30</v>
          </cell>
        </row>
        <row r="6">
          <cell r="N6">
            <v>22</v>
          </cell>
          <cell r="S6">
            <v>23</v>
          </cell>
        </row>
        <row r="7">
          <cell r="N7">
            <v>9</v>
          </cell>
          <cell r="S7">
            <v>13</v>
          </cell>
        </row>
        <row r="8">
          <cell r="N8">
            <v>57</v>
          </cell>
          <cell r="S8">
            <v>25</v>
          </cell>
        </row>
        <row r="9">
          <cell r="N9">
            <v>49</v>
          </cell>
          <cell r="S9">
            <v>19</v>
          </cell>
        </row>
        <row r="10">
          <cell r="N10">
            <v>14</v>
          </cell>
          <cell r="S10">
            <v>20</v>
          </cell>
        </row>
        <row r="11">
          <cell r="N11">
            <v>72</v>
          </cell>
          <cell r="S11">
            <v>21</v>
          </cell>
        </row>
        <row r="12">
          <cell r="N12">
            <v>78</v>
          </cell>
          <cell r="S12">
            <v>25</v>
          </cell>
        </row>
        <row r="13">
          <cell r="N13">
            <v>10</v>
          </cell>
          <cell r="S13">
            <v>16</v>
          </cell>
        </row>
        <row r="14">
          <cell r="N14">
            <v>56</v>
          </cell>
          <cell r="S14">
            <v>10</v>
          </cell>
        </row>
        <row r="15">
          <cell r="N15">
            <v>72</v>
          </cell>
          <cell r="S15">
            <v>4</v>
          </cell>
        </row>
        <row r="16">
          <cell r="N16">
            <v>52</v>
          </cell>
          <cell r="S16">
            <v>3</v>
          </cell>
        </row>
        <row r="17">
          <cell r="N17">
            <v>30</v>
          </cell>
          <cell r="S17">
            <v>15</v>
          </cell>
        </row>
        <row r="18">
          <cell r="N18">
            <v>33</v>
          </cell>
          <cell r="S18">
            <v>20</v>
          </cell>
        </row>
        <row r="19">
          <cell r="N19">
            <v>64</v>
          </cell>
          <cell r="S19">
            <v>17</v>
          </cell>
        </row>
        <row r="20">
          <cell r="N20">
            <v>23</v>
          </cell>
          <cell r="S20">
            <v>2</v>
          </cell>
        </row>
        <row r="21">
          <cell r="N21">
            <v>78</v>
          </cell>
          <cell r="S21">
            <v>16</v>
          </cell>
        </row>
        <row r="22">
          <cell r="N22">
            <v>56</v>
          </cell>
          <cell r="S22">
            <v>17</v>
          </cell>
        </row>
        <row r="23">
          <cell r="N23">
            <v>1</v>
          </cell>
          <cell r="S23">
            <v>10</v>
          </cell>
        </row>
        <row r="24">
          <cell r="N24">
            <v>73</v>
          </cell>
          <cell r="S24">
            <v>12</v>
          </cell>
        </row>
        <row r="25">
          <cell r="N25">
            <v>64</v>
          </cell>
          <cell r="S25">
            <v>14</v>
          </cell>
        </row>
        <row r="26">
          <cell r="N26">
            <v>72</v>
          </cell>
          <cell r="S26">
            <v>17</v>
          </cell>
        </row>
        <row r="27">
          <cell r="N27">
            <v>34</v>
          </cell>
          <cell r="S27">
            <v>10</v>
          </cell>
        </row>
        <row r="28">
          <cell r="N28">
            <v>44</v>
          </cell>
          <cell r="S28">
            <v>28</v>
          </cell>
        </row>
        <row r="29">
          <cell r="N29">
            <v>29</v>
          </cell>
          <cell r="S29">
            <v>26</v>
          </cell>
        </row>
        <row r="30">
          <cell r="N30">
            <v>48</v>
          </cell>
          <cell r="S30">
            <v>9</v>
          </cell>
        </row>
        <row r="31">
          <cell r="N31">
            <v>65</v>
          </cell>
          <cell r="S31">
            <v>10</v>
          </cell>
        </row>
        <row r="32">
          <cell r="N32">
            <v>18</v>
          </cell>
          <cell r="S32">
            <v>10</v>
          </cell>
        </row>
        <row r="33">
          <cell r="N33">
            <v>21</v>
          </cell>
          <cell r="S33">
            <v>26</v>
          </cell>
        </row>
        <row r="34">
          <cell r="N34">
            <v>25</v>
          </cell>
          <cell r="S34">
            <v>6</v>
          </cell>
        </row>
        <row r="35">
          <cell r="N35">
            <v>71</v>
          </cell>
          <cell r="S35">
            <v>5</v>
          </cell>
        </row>
        <row r="36">
          <cell r="N36">
            <v>55</v>
          </cell>
          <cell r="S36">
            <v>2</v>
          </cell>
        </row>
        <row r="37">
          <cell r="N37">
            <v>47</v>
          </cell>
          <cell r="S37">
            <v>6</v>
          </cell>
        </row>
        <row r="38">
          <cell r="N38">
            <v>3</v>
          </cell>
          <cell r="S38">
            <v>20</v>
          </cell>
        </row>
        <row r="39">
          <cell r="N39">
            <v>32</v>
          </cell>
          <cell r="S39">
            <v>17</v>
          </cell>
        </row>
        <row r="40">
          <cell r="N40">
            <v>1</v>
          </cell>
          <cell r="S40">
            <v>28</v>
          </cell>
        </row>
        <row r="41">
          <cell r="N41">
            <v>74</v>
          </cell>
          <cell r="S41">
            <v>22</v>
          </cell>
        </row>
        <row r="42">
          <cell r="N42">
            <v>70</v>
          </cell>
          <cell r="S42">
            <v>28</v>
          </cell>
        </row>
        <row r="43">
          <cell r="N43">
            <v>21</v>
          </cell>
          <cell r="S43">
            <v>5</v>
          </cell>
        </row>
        <row r="44">
          <cell r="N44">
            <v>57</v>
          </cell>
          <cell r="S44">
            <v>3</v>
          </cell>
        </row>
        <row r="45">
          <cell r="N45">
            <v>58</v>
          </cell>
          <cell r="S45">
            <v>16</v>
          </cell>
        </row>
        <row r="46">
          <cell r="N46">
            <v>35</v>
          </cell>
          <cell r="S46">
            <v>10</v>
          </cell>
        </row>
        <row r="47">
          <cell r="N47">
            <v>26</v>
          </cell>
          <cell r="S47">
            <v>18</v>
          </cell>
        </row>
        <row r="48">
          <cell r="N48">
            <v>61</v>
          </cell>
          <cell r="S48">
            <v>9</v>
          </cell>
        </row>
        <row r="49">
          <cell r="N49">
            <v>61</v>
          </cell>
          <cell r="S49">
            <v>9</v>
          </cell>
        </row>
        <row r="50">
          <cell r="N50">
            <v>19</v>
          </cell>
          <cell r="S50">
            <v>0</v>
          </cell>
        </row>
        <row r="51">
          <cell r="N51">
            <v>76</v>
          </cell>
          <cell r="S51">
            <v>17</v>
          </cell>
        </row>
        <row r="52">
          <cell r="N52">
            <v>40</v>
          </cell>
          <cell r="S52">
            <v>17</v>
          </cell>
        </row>
        <row r="53">
          <cell r="N53">
            <v>73</v>
          </cell>
          <cell r="S53">
            <v>5</v>
          </cell>
        </row>
        <row r="54">
          <cell r="N54">
            <v>32</v>
          </cell>
          <cell r="S54">
            <v>1</v>
          </cell>
        </row>
        <row r="55">
          <cell r="N55">
            <v>29</v>
          </cell>
          <cell r="S55">
            <v>15</v>
          </cell>
        </row>
        <row r="56">
          <cell r="N56">
            <v>65</v>
          </cell>
          <cell r="S56">
            <v>1</v>
          </cell>
        </row>
        <row r="57">
          <cell r="N57">
            <v>44</v>
          </cell>
          <cell r="S57">
            <v>8</v>
          </cell>
        </row>
        <row r="58">
          <cell r="N58">
            <v>44</v>
          </cell>
          <cell r="S58">
            <v>7</v>
          </cell>
        </row>
        <row r="59">
          <cell r="N59">
            <v>4</v>
          </cell>
          <cell r="S59">
            <v>5</v>
          </cell>
        </row>
        <row r="60">
          <cell r="N60">
            <v>49</v>
          </cell>
          <cell r="S60">
            <v>13</v>
          </cell>
        </row>
        <row r="61">
          <cell r="N61">
            <v>48</v>
          </cell>
          <cell r="S61">
            <v>24</v>
          </cell>
        </row>
        <row r="62">
          <cell r="N62">
            <v>63</v>
          </cell>
          <cell r="S62">
            <v>14</v>
          </cell>
        </row>
        <row r="63">
          <cell r="N63">
            <v>17</v>
          </cell>
          <cell r="S63">
            <v>14</v>
          </cell>
        </row>
        <row r="64">
          <cell r="N64">
            <v>53</v>
          </cell>
          <cell r="S64">
            <v>7</v>
          </cell>
        </row>
        <row r="65">
          <cell r="N65">
            <v>77</v>
          </cell>
          <cell r="S65">
            <v>15</v>
          </cell>
        </row>
        <row r="66">
          <cell r="N66">
            <v>4</v>
          </cell>
          <cell r="S66">
            <v>18</v>
          </cell>
        </row>
        <row r="67">
          <cell r="N67">
            <v>24</v>
          </cell>
          <cell r="S67">
            <v>28</v>
          </cell>
        </row>
        <row r="68">
          <cell r="N68">
            <v>19</v>
          </cell>
          <cell r="S68">
            <v>21</v>
          </cell>
        </row>
        <row r="69">
          <cell r="N69">
            <v>73</v>
          </cell>
          <cell r="S69">
            <v>30</v>
          </cell>
        </row>
        <row r="70">
          <cell r="N70">
            <v>20</v>
          </cell>
          <cell r="S70">
            <v>10</v>
          </cell>
        </row>
        <row r="71">
          <cell r="N71">
            <v>53</v>
          </cell>
          <cell r="S71">
            <v>26</v>
          </cell>
        </row>
        <row r="72">
          <cell r="N72">
            <v>6</v>
          </cell>
          <cell r="S72">
            <v>6</v>
          </cell>
        </row>
        <row r="73">
          <cell r="N73">
            <v>76</v>
          </cell>
          <cell r="S73">
            <v>24</v>
          </cell>
        </row>
        <row r="74">
          <cell r="N74">
            <v>26</v>
          </cell>
          <cell r="S74">
            <v>20</v>
          </cell>
        </row>
        <row r="75">
          <cell r="N75">
            <v>19</v>
          </cell>
          <cell r="S75">
            <v>20</v>
          </cell>
        </row>
        <row r="76">
          <cell r="N76">
            <v>10</v>
          </cell>
          <cell r="S76">
            <v>15</v>
          </cell>
        </row>
        <row r="77">
          <cell r="N77">
            <v>7</v>
          </cell>
          <cell r="S77">
            <v>24</v>
          </cell>
        </row>
        <row r="78">
          <cell r="N78">
            <v>68</v>
          </cell>
          <cell r="S78">
            <v>28</v>
          </cell>
        </row>
        <row r="79">
          <cell r="N79">
            <v>14</v>
          </cell>
          <cell r="S79">
            <v>18</v>
          </cell>
        </row>
        <row r="80">
          <cell r="N80">
            <v>46</v>
          </cell>
          <cell r="S80">
            <v>2</v>
          </cell>
        </row>
        <row r="81">
          <cell r="N81">
            <v>74</v>
          </cell>
          <cell r="S81">
            <v>30</v>
          </cell>
        </row>
        <row r="82">
          <cell r="N82">
            <v>24</v>
          </cell>
          <cell r="S82">
            <v>7</v>
          </cell>
        </row>
        <row r="83">
          <cell r="N83">
            <v>53</v>
          </cell>
          <cell r="S83">
            <v>4</v>
          </cell>
        </row>
        <row r="84">
          <cell r="N84">
            <v>8</v>
          </cell>
          <cell r="S84">
            <v>15</v>
          </cell>
        </row>
        <row r="85">
          <cell r="N85">
            <v>78</v>
          </cell>
          <cell r="S85">
            <v>20</v>
          </cell>
        </row>
        <row r="86">
          <cell r="N86">
            <v>56</v>
          </cell>
          <cell r="S86">
            <v>19</v>
          </cell>
        </row>
        <row r="87">
          <cell r="N87">
            <v>37</v>
          </cell>
          <cell r="S87">
            <v>11</v>
          </cell>
        </row>
        <row r="88">
          <cell r="N88">
            <v>43</v>
          </cell>
          <cell r="S88">
            <v>8</v>
          </cell>
        </row>
        <row r="89">
          <cell r="N89">
            <v>67</v>
          </cell>
          <cell r="S89">
            <v>22</v>
          </cell>
        </row>
        <row r="90">
          <cell r="N90">
            <v>77</v>
          </cell>
          <cell r="S90">
            <v>21</v>
          </cell>
        </row>
        <row r="91">
          <cell r="N91">
            <v>35</v>
          </cell>
          <cell r="S91">
            <v>24</v>
          </cell>
        </row>
        <row r="92">
          <cell r="N92">
            <v>34</v>
          </cell>
          <cell r="S92">
            <v>27</v>
          </cell>
        </row>
        <row r="93">
          <cell r="N93">
            <v>47</v>
          </cell>
          <cell r="S93">
            <v>4</v>
          </cell>
        </row>
        <row r="94">
          <cell r="N94">
            <v>67</v>
          </cell>
          <cell r="S94">
            <v>12</v>
          </cell>
        </row>
        <row r="95">
          <cell r="N95">
            <v>9</v>
          </cell>
          <cell r="S95">
            <v>5</v>
          </cell>
        </row>
        <row r="96">
          <cell r="N96">
            <v>23</v>
          </cell>
          <cell r="S96">
            <v>5</v>
          </cell>
        </row>
        <row r="97">
          <cell r="N97">
            <v>54</v>
          </cell>
          <cell r="S97">
            <v>8</v>
          </cell>
        </row>
        <row r="98">
          <cell r="N98">
            <v>78</v>
          </cell>
          <cell r="S98">
            <v>11</v>
          </cell>
        </row>
        <row r="99">
          <cell r="N99">
            <v>28</v>
          </cell>
          <cell r="S99">
            <v>19</v>
          </cell>
        </row>
        <row r="100">
          <cell r="N100">
            <v>23</v>
          </cell>
          <cell r="S100">
            <v>13</v>
          </cell>
        </row>
        <row r="101">
          <cell r="N101">
            <v>50</v>
          </cell>
          <cell r="S101">
            <v>28</v>
          </cell>
        </row>
        <row r="102">
          <cell r="N102">
            <v>79</v>
          </cell>
          <cell r="S102">
            <v>23</v>
          </cell>
        </row>
        <row r="103">
          <cell r="N103">
            <v>76</v>
          </cell>
          <cell r="S103">
            <v>14</v>
          </cell>
        </row>
        <row r="104">
          <cell r="N104">
            <v>76</v>
          </cell>
          <cell r="S104">
            <v>17</v>
          </cell>
        </row>
        <row r="105">
          <cell r="N105">
            <v>27</v>
          </cell>
          <cell r="S105">
            <v>15</v>
          </cell>
        </row>
        <row r="106">
          <cell r="N106">
            <v>25</v>
          </cell>
          <cell r="S106">
            <v>28</v>
          </cell>
        </row>
        <row r="107">
          <cell r="N107">
            <v>5</v>
          </cell>
          <cell r="S107">
            <v>20</v>
          </cell>
        </row>
        <row r="108">
          <cell r="N108">
            <v>32</v>
          </cell>
          <cell r="S108">
            <v>20</v>
          </cell>
        </row>
        <row r="109">
          <cell r="N109">
            <v>2</v>
          </cell>
          <cell r="S109">
            <v>16</v>
          </cell>
        </row>
        <row r="110">
          <cell r="N110">
            <v>63</v>
          </cell>
          <cell r="S110">
            <v>19</v>
          </cell>
        </row>
        <row r="111">
          <cell r="N111">
            <v>21</v>
          </cell>
          <cell r="S111">
            <v>29</v>
          </cell>
        </row>
        <row r="112">
          <cell r="N112">
            <v>53</v>
          </cell>
          <cell r="S112">
            <v>28</v>
          </cell>
        </row>
        <row r="113">
          <cell r="N113">
            <v>4</v>
          </cell>
          <cell r="S113">
            <v>23</v>
          </cell>
        </row>
        <row r="114">
          <cell r="N114">
            <v>37</v>
          </cell>
          <cell r="S114">
            <v>24</v>
          </cell>
        </row>
        <row r="115">
          <cell r="N115">
            <v>17</v>
          </cell>
          <cell r="S115">
            <v>10</v>
          </cell>
        </row>
        <row r="116">
          <cell r="N116">
            <v>19</v>
          </cell>
          <cell r="S116">
            <v>7</v>
          </cell>
        </row>
        <row r="117">
          <cell r="N117">
            <v>34</v>
          </cell>
          <cell r="S117">
            <v>9</v>
          </cell>
        </row>
        <row r="118">
          <cell r="N118">
            <v>52</v>
          </cell>
          <cell r="S118">
            <v>18</v>
          </cell>
        </row>
        <row r="119">
          <cell r="N119">
            <v>22</v>
          </cell>
          <cell r="S119">
            <v>12</v>
          </cell>
        </row>
        <row r="120">
          <cell r="N120">
            <v>2</v>
          </cell>
          <cell r="S120">
            <v>28</v>
          </cell>
        </row>
        <row r="121">
          <cell r="N121">
            <v>47</v>
          </cell>
          <cell r="S121">
            <v>27</v>
          </cell>
        </row>
        <row r="122">
          <cell r="N122">
            <v>79</v>
          </cell>
          <cell r="S122">
            <v>11</v>
          </cell>
        </row>
        <row r="123">
          <cell r="N123">
            <v>19</v>
          </cell>
          <cell r="S123">
            <v>23</v>
          </cell>
        </row>
        <row r="124">
          <cell r="N124">
            <v>51</v>
          </cell>
          <cell r="S124">
            <v>18</v>
          </cell>
        </row>
        <row r="125">
          <cell r="N125">
            <v>17</v>
          </cell>
          <cell r="S125">
            <v>21</v>
          </cell>
        </row>
        <row r="126">
          <cell r="N126">
            <v>51</v>
          </cell>
          <cell r="S126">
            <v>15</v>
          </cell>
        </row>
        <row r="127">
          <cell r="N127">
            <v>57</v>
          </cell>
          <cell r="S127">
            <v>21</v>
          </cell>
        </row>
        <row r="128">
          <cell r="N128">
            <v>10</v>
          </cell>
          <cell r="S128">
            <v>14</v>
          </cell>
        </row>
        <row r="129">
          <cell r="N129">
            <v>48</v>
          </cell>
          <cell r="S129">
            <v>27</v>
          </cell>
        </row>
        <row r="130">
          <cell r="N130">
            <v>33</v>
          </cell>
          <cell r="S130">
            <v>23</v>
          </cell>
        </row>
        <row r="131">
          <cell r="N131">
            <v>56</v>
          </cell>
          <cell r="S131">
            <v>0</v>
          </cell>
        </row>
        <row r="132">
          <cell r="N132">
            <v>16</v>
          </cell>
          <cell r="S132">
            <v>3</v>
          </cell>
        </row>
        <row r="133">
          <cell r="N133">
            <v>44</v>
          </cell>
          <cell r="S133">
            <v>29</v>
          </cell>
        </row>
        <row r="134">
          <cell r="N134">
            <v>3</v>
          </cell>
          <cell r="S134">
            <v>15</v>
          </cell>
        </row>
        <row r="135">
          <cell r="N135">
            <v>7</v>
          </cell>
          <cell r="S135">
            <v>1</v>
          </cell>
        </row>
        <row r="136">
          <cell r="N136">
            <v>4</v>
          </cell>
          <cell r="S136">
            <v>6</v>
          </cell>
        </row>
        <row r="137">
          <cell r="N137">
            <v>28</v>
          </cell>
          <cell r="S137">
            <v>26</v>
          </cell>
        </row>
        <row r="138">
          <cell r="N138">
            <v>1</v>
          </cell>
          <cell r="S138">
            <v>9</v>
          </cell>
        </row>
        <row r="139">
          <cell r="N139">
            <v>43</v>
          </cell>
          <cell r="S139">
            <v>29</v>
          </cell>
        </row>
        <row r="140">
          <cell r="N140">
            <v>62</v>
          </cell>
          <cell r="S140">
            <v>10</v>
          </cell>
        </row>
        <row r="141">
          <cell r="N141">
            <v>16</v>
          </cell>
          <cell r="S141">
            <v>6</v>
          </cell>
        </row>
        <row r="142">
          <cell r="N142">
            <v>62</v>
          </cell>
          <cell r="S142">
            <v>5</v>
          </cell>
        </row>
        <row r="143">
          <cell r="N143">
            <v>3</v>
          </cell>
          <cell r="S143">
            <v>0</v>
          </cell>
        </row>
        <row r="144">
          <cell r="N144">
            <v>20</v>
          </cell>
          <cell r="S144">
            <v>0</v>
          </cell>
        </row>
        <row r="145">
          <cell r="N145">
            <v>68</v>
          </cell>
          <cell r="S145">
            <v>25</v>
          </cell>
        </row>
        <row r="146">
          <cell r="N146">
            <v>10</v>
          </cell>
          <cell r="S146">
            <v>25</v>
          </cell>
        </row>
        <row r="147">
          <cell r="N147">
            <v>54</v>
          </cell>
          <cell r="S147">
            <v>4</v>
          </cell>
        </row>
        <row r="148">
          <cell r="N148">
            <v>36</v>
          </cell>
          <cell r="S148">
            <v>14</v>
          </cell>
        </row>
        <row r="149">
          <cell r="N149">
            <v>56</v>
          </cell>
          <cell r="S149">
            <v>12</v>
          </cell>
        </row>
        <row r="150">
          <cell r="N150">
            <v>73</v>
          </cell>
          <cell r="S150">
            <v>26</v>
          </cell>
        </row>
        <row r="151">
          <cell r="N151">
            <v>54</v>
          </cell>
          <cell r="S151">
            <v>19</v>
          </cell>
        </row>
        <row r="152">
          <cell r="N152">
            <v>3</v>
          </cell>
          <cell r="S152">
            <v>10</v>
          </cell>
        </row>
        <row r="153">
          <cell r="N153">
            <v>72</v>
          </cell>
          <cell r="S153">
            <v>13</v>
          </cell>
        </row>
        <row r="154">
          <cell r="N154">
            <v>10</v>
          </cell>
          <cell r="S154">
            <v>23</v>
          </cell>
        </row>
        <row r="155">
          <cell r="N155">
            <v>66</v>
          </cell>
          <cell r="S155">
            <v>11</v>
          </cell>
        </row>
        <row r="156">
          <cell r="N156">
            <v>1</v>
          </cell>
          <cell r="S156">
            <v>6</v>
          </cell>
        </row>
        <row r="157">
          <cell r="N157">
            <v>73</v>
          </cell>
          <cell r="S157">
            <v>22</v>
          </cell>
        </row>
        <row r="158">
          <cell r="N158">
            <v>13</v>
          </cell>
          <cell r="S158">
            <v>27</v>
          </cell>
        </row>
        <row r="159">
          <cell r="N159">
            <v>63</v>
          </cell>
          <cell r="S159">
            <v>4</v>
          </cell>
        </row>
        <row r="160">
          <cell r="N160">
            <v>32</v>
          </cell>
          <cell r="S160">
            <v>3</v>
          </cell>
        </row>
        <row r="161">
          <cell r="N161">
            <v>22</v>
          </cell>
          <cell r="S161">
            <v>0</v>
          </cell>
        </row>
        <row r="162">
          <cell r="N162">
            <v>58</v>
          </cell>
          <cell r="S162">
            <v>6</v>
          </cell>
        </row>
        <row r="163">
          <cell r="N163">
            <v>67</v>
          </cell>
          <cell r="S163">
            <v>2</v>
          </cell>
        </row>
        <row r="164">
          <cell r="N164">
            <v>66</v>
          </cell>
          <cell r="S164">
            <v>20</v>
          </cell>
        </row>
        <row r="165">
          <cell r="N165">
            <v>77</v>
          </cell>
          <cell r="S165">
            <v>10</v>
          </cell>
        </row>
        <row r="166">
          <cell r="N166">
            <v>6</v>
          </cell>
          <cell r="S166">
            <v>22</v>
          </cell>
        </row>
        <row r="167">
          <cell r="N167">
            <v>33</v>
          </cell>
          <cell r="S167">
            <v>23</v>
          </cell>
        </row>
        <row r="168">
          <cell r="N168">
            <v>0</v>
          </cell>
          <cell r="S168">
            <v>2</v>
          </cell>
        </row>
        <row r="169">
          <cell r="N169">
            <v>35</v>
          </cell>
          <cell r="S169">
            <v>4</v>
          </cell>
        </row>
        <row r="170">
          <cell r="N170">
            <v>78</v>
          </cell>
          <cell r="S170">
            <v>14</v>
          </cell>
        </row>
        <row r="171">
          <cell r="N171">
            <v>76</v>
          </cell>
          <cell r="S171">
            <v>3</v>
          </cell>
        </row>
        <row r="172">
          <cell r="N172">
            <v>75</v>
          </cell>
          <cell r="S172">
            <v>5</v>
          </cell>
        </row>
        <row r="173">
          <cell r="N173">
            <v>42</v>
          </cell>
          <cell r="S173">
            <v>2</v>
          </cell>
        </row>
        <row r="174">
          <cell r="N174">
            <v>11</v>
          </cell>
          <cell r="S174">
            <v>0</v>
          </cell>
        </row>
        <row r="175">
          <cell r="N175">
            <v>21</v>
          </cell>
          <cell r="S175">
            <v>4</v>
          </cell>
        </row>
        <row r="176">
          <cell r="N176">
            <v>56</v>
          </cell>
          <cell r="S176">
            <v>17</v>
          </cell>
        </row>
        <row r="177">
          <cell r="N177">
            <v>15</v>
          </cell>
          <cell r="S177">
            <v>18</v>
          </cell>
        </row>
        <row r="178">
          <cell r="N178">
            <v>39</v>
          </cell>
          <cell r="S178">
            <v>17</v>
          </cell>
        </row>
        <row r="179">
          <cell r="N179">
            <v>76</v>
          </cell>
          <cell r="S179">
            <v>18</v>
          </cell>
        </row>
        <row r="180">
          <cell r="N180">
            <v>56</v>
          </cell>
          <cell r="S180">
            <v>10</v>
          </cell>
        </row>
        <row r="181">
          <cell r="N181">
            <v>41</v>
          </cell>
          <cell r="S181">
            <v>0</v>
          </cell>
        </row>
        <row r="182">
          <cell r="N182">
            <v>46</v>
          </cell>
          <cell r="S182">
            <v>23</v>
          </cell>
        </row>
        <row r="183">
          <cell r="N183">
            <v>11</v>
          </cell>
          <cell r="S183">
            <v>3</v>
          </cell>
        </row>
        <row r="184">
          <cell r="N184">
            <v>35</v>
          </cell>
          <cell r="S184">
            <v>14</v>
          </cell>
        </row>
        <row r="185">
          <cell r="N185">
            <v>67</v>
          </cell>
          <cell r="S185">
            <v>2</v>
          </cell>
        </row>
        <row r="186">
          <cell r="N186">
            <v>17</v>
          </cell>
          <cell r="S186">
            <v>25</v>
          </cell>
        </row>
        <row r="187">
          <cell r="N187">
            <v>6</v>
          </cell>
          <cell r="S187">
            <v>12</v>
          </cell>
        </row>
        <row r="188">
          <cell r="N188">
            <v>59</v>
          </cell>
          <cell r="S188">
            <v>21</v>
          </cell>
        </row>
        <row r="189">
          <cell r="N189">
            <v>41</v>
          </cell>
          <cell r="S189">
            <v>16</v>
          </cell>
        </row>
        <row r="190">
          <cell r="N190">
            <v>53</v>
          </cell>
          <cell r="S190">
            <v>17</v>
          </cell>
        </row>
        <row r="191">
          <cell r="N191">
            <v>50</v>
          </cell>
          <cell r="S191">
            <v>18</v>
          </cell>
        </row>
        <row r="192">
          <cell r="N192">
            <v>8</v>
          </cell>
          <cell r="S192">
            <v>19</v>
          </cell>
        </row>
        <row r="193">
          <cell r="N193">
            <v>5</v>
          </cell>
          <cell r="S193">
            <v>27</v>
          </cell>
        </row>
        <row r="194">
          <cell r="N194">
            <v>18</v>
          </cell>
          <cell r="S194">
            <v>5</v>
          </cell>
        </row>
        <row r="195">
          <cell r="N195">
            <v>79</v>
          </cell>
          <cell r="S195">
            <v>3</v>
          </cell>
        </row>
        <row r="196">
          <cell r="N196">
            <v>71</v>
          </cell>
          <cell r="S196">
            <v>7</v>
          </cell>
        </row>
        <row r="197">
          <cell r="N197">
            <v>40</v>
          </cell>
          <cell r="S197">
            <v>21</v>
          </cell>
        </row>
        <row r="198">
          <cell r="N198">
            <v>18</v>
          </cell>
          <cell r="S198">
            <v>15</v>
          </cell>
        </row>
        <row r="199">
          <cell r="N199">
            <v>70</v>
          </cell>
          <cell r="S199">
            <v>8</v>
          </cell>
        </row>
        <row r="200">
          <cell r="N200">
            <v>30</v>
          </cell>
          <cell r="S200">
            <v>25</v>
          </cell>
        </row>
        <row r="201">
          <cell r="N201">
            <v>19</v>
          </cell>
          <cell r="S201">
            <v>8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40DF-4D48-4C14-AF78-013B8C4342A9}">
  <dimension ref="A1:AC201"/>
  <sheetViews>
    <sheetView tabSelected="1" topLeftCell="A184" workbookViewId="0">
      <selection activeCell="G2" sqref="G2"/>
    </sheetView>
  </sheetViews>
  <sheetFormatPr defaultRowHeight="14.5" x14ac:dyDescent="0.35"/>
  <cols>
    <col min="1" max="1" width="12.81640625" bestFit="1" customWidth="1"/>
    <col min="2" max="2" width="10.81640625" bestFit="1" customWidth="1"/>
    <col min="3" max="3" width="12.453125" bestFit="1" customWidth="1"/>
    <col min="4" max="5" width="10.36328125" bestFit="1" customWidth="1"/>
    <col min="6" max="6" width="10.36328125" customWidth="1"/>
    <col min="7" max="7" width="15.81640625" bestFit="1" customWidth="1"/>
    <col min="8" max="8" width="16.08984375" bestFit="1" customWidth="1"/>
    <col min="9" max="9" width="15.1796875" bestFit="1" customWidth="1"/>
    <col min="10" max="10" width="11.81640625" bestFit="1" customWidth="1"/>
    <col min="11" max="11" width="14.81640625" bestFit="1" customWidth="1"/>
    <col min="12" max="12" width="14.81640625" customWidth="1"/>
    <col min="13" max="13" width="7.36328125" bestFit="1" customWidth="1"/>
    <col min="14" max="14" width="13.36328125" bestFit="1" customWidth="1"/>
    <col min="15" max="15" width="12.08984375" bestFit="1" customWidth="1"/>
    <col min="16" max="16" width="8.08984375" bestFit="1" customWidth="1"/>
    <col min="17" max="17" width="8.08984375" hidden="1" customWidth="1"/>
    <col min="18" max="18" width="9" bestFit="1" customWidth="1"/>
    <col min="19" max="19" width="11.81640625" bestFit="1" customWidth="1"/>
    <col min="20" max="20" width="6.08984375" bestFit="1" customWidth="1"/>
    <col min="21" max="21" width="17.81640625" bestFit="1" customWidth="1"/>
    <col min="22" max="22" width="17.36328125" bestFit="1" customWidth="1"/>
    <col min="23" max="23" width="13.90625" bestFit="1" customWidth="1"/>
    <col min="24" max="24" width="6.90625" bestFit="1" customWidth="1"/>
    <col min="25" max="25" width="4" bestFit="1" customWidth="1"/>
    <col min="26" max="26" width="15.453125" bestFit="1" customWidth="1"/>
    <col min="27" max="27" width="11.6328125" bestFit="1" customWidth="1"/>
    <col min="28" max="28" width="14.1796875" bestFit="1" customWidth="1"/>
    <col min="29" max="29" width="7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s="3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5">
      <c r="A2" t="s">
        <v>28</v>
      </c>
      <c r="B2" t="s">
        <v>29</v>
      </c>
      <c r="C2" t="s">
        <v>30</v>
      </c>
      <c r="D2" s="4">
        <v>45786</v>
      </c>
      <c r="E2" s="4">
        <v>45820</v>
      </c>
      <c r="F2" s="5">
        <f>E2-D2</f>
        <v>34</v>
      </c>
      <c r="G2">
        <v>33521</v>
      </c>
      <c r="H2" t="s">
        <v>31</v>
      </c>
      <c r="I2">
        <v>175</v>
      </c>
      <c r="J2">
        <v>2</v>
      </c>
      <c r="K2">
        <v>1</v>
      </c>
      <c r="L2" s="6">
        <f>K2/I2</f>
        <v>5.7142857142857143E-3</v>
      </c>
      <c r="M2" t="s">
        <v>32</v>
      </c>
      <c r="N2">
        <v>41</v>
      </c>
      <c r="O2">
        <v>17020</v>
      </c>
      <c r="P2">
        <v>47</v>
      </c>
      <c r="R2">
        <v>49</v>
      </c>
      <c r="S2" s="3">
        <f>R2-P2</f>
        <v>2</v>
      </c>
      <c r="T2">
        <v>4</v>
      </c>
      <c r="U2">
        <v>97</v>
      </c>
      <c r="V2">
        <v>79</v>
      </c>
      <c r="W2" t="s">
        <v>33</v>
      </c>
      <c r="X2" t="s">
        <v>34</v>
      </c>
      <c r="Y2">
        <v>31</v>
      </c>
      <c r="Z2">
        <v>4</v>
      </c>
      <c r="AA2">
        <v>6</v>
      </c>
      <c r="AB2">
        <v>30</v>
      </c>
      <c r="AC2">
        <v>49256</v>
      </c>
    </row>
    <row r="3" spans="1:29" x14ac:dyDescent="0.35">
      <c r="A3" t="s">
        <v>35</v>
      </c>
      <c r="B3" t="s">
        <v>29</v>
      </c>
      <c r="C3" t="s">
        <v>30</v>
      </c>
      <c r="D3" s="4">
        <v>45558</v>
      </c>
      <c r="E3" s="4">
        <v>45602</v>
      </c>
      <c r="F3" s="5">
        <f t="shared" ref="F3:F66" si="0">E3-D3</f>
        <v>44</v>
      </c>
      <c r="G3">
        <v>40324</v>
      </c>
      <c r="H3" t="s">
        <v>36</v>
      </c>
      <c r="I3">
        <v>151</v>
      </c>
      <c r="J3">
        <v>16</v>
      </c>
      <c r="K3">
        <v>11</v>
      </c>
      <c r="L3" s="6">
        <f t="shared" ref="L3:L66" si="1">K3/I3</f>
        <v>7.2847682119205295E-2</v>
      </c>
      <c r="M3" t="s">
        <v>37</v>
      </c>
      <c r="N3">
        <v>9</v>
      </c>
      <c r="O3">
        <v>19743</v>
      </c>
      <c r="P3">
        <v>74</v>
      </c>
      <c r="R3">
        <v>75</v>
      </c>
      <c r="S3" s="3">
        <f t="shared" ref="S3:S66" si="2">R3-P3</f>
        <v>1</v>
      </c>
      <c r="T3">
        <v>3</v>
      </c>
      <c r="U3">
        <v>97</v>
      </c>
      <c r="V3">
        <v>96</v>
      </c>
      <c r="W3" t="s">
        <v>38</v>
      </c>
      <c r="X3" t="s">
        <v>34</v>
      </c>
      <c r="Y3">
        <v>34</v>
      </c>
      <c r="Z3">
        <v>11</v>
      </c>
      <c r="AA3">
        <v>25</v>
      </c>
      <c r="AB3">
        <v>30</v>
      </c>
      <c r="AC3">
        <v>41915</v>
      </c>
    </row>
    <row r="4" spans="1:29" x14ac:dyDescent="0.35">
      <c r="A4" t="s">
        <v>39</v>
      </c>
      <c r="B4" t="s">
        <v>40</v>
      </c>
      <c r="C4" t="s">
        <v>30</v>
      </c>
      <c r="D4" s="4">
        <v>45361</v>
      </c>
      <c r="E4" s="4">
        <v>45409</v>
      </c>
      <c r="F4" s="5">
        <f t="shared" si="0"/>
        <v>48</v>
      </c>
      <c r="G4">
        <v>46735</v>
      </c>
      <c r="H4" t="s">
        <v>41</v>
      </c>
      <c r="I4">
        <v>91</v>
      </c>
      <c r="J4">
        <v>1</v>
      </c>
      <c r="K4">
        <v>1</v>
      </c>
      <c r="L4" s="6">
        <f t="shared" si="1"/>
        <v>1.098901098901099E-2</v>
      </c>
      <c r="M4" t="s">
        <v>42</v>
      </c>
      <c r="N4">
        <v>38</v>
      </c>
      <c r="O4">
        <v>27821</v>
      </c>
      <c r="P4">
        <v>50</v>
      </c>
      <c r="R4">
        <v>72</v>
      </c>
      <c r="S4" s="3">
        <f t="shared" si="2"/>
        <v>22</v>
      </c>
      <c r="T4">
        <v>5</v>
      </c>
      <c r="U4">
        <v>97</v>
      </c>
      <c r="V4">
        <v>75</v>
      </c>
      <c r="W4" t="s">
        <v>33</v>
      </c>
      <c r="X4" t="s">
        <v>34</v>
      </c>
      <c r="Y4">
        <v>53</v>
      </c>
      <c r="Z4">
        <v>23</v>
      </c>
      <c r="AA4">
        <v>17</v>
      </c>
      <c r="AB4">
        <v>30</v>
      </c>
      <c r="AC4">
        <v>102524</v>
      </c>
    </row>
    <row r="5" spans="1:29" x14ac:dyDescent="0.35">
      <c r="A5" t="s">
        <v>43</v>
      </c>
      <c r="B5" t="s">
        <v>29</v>
      </c>
      <c r="C5" t="s">
        <v>30</v>
      </c>
      <c r="D5" s="4">
        <v>45613</v>
      </c>
      <c r="E5" s="4">
        <v>45620</v>
      </c>
      <c r="F5" s="5">
        <f t="shared" si="0"/>
        <v>7</v>
      </c>
      <c r="G5">
        <v>34772</v>
      </c>
      <c r="H5" t="s">
        <v>44</v>
      </c>
      <c r="I5">
        <v>125</v>
      </c>
      <c r="J5">
        <v>18</v>
      </c>
      <c r="K5">
        <v>4</v>
      </c>
      <c r="L5" s="6">
        <f t="shared" si="1"/>
        <v>3.2000000000000001E-2</v>
      </c>
      <c r="M5" t="s">
        <v>45</v>
      </c>
      <c r="N5">
        <v>17</v>
      </c>
      <c r="O5">
        <v>9141</v>
      </c>
      <c r="P5">
        <v>70</v>
      </c>
      <c r="R5">
        <v>100</v>
      </c>
      <c r="S5" s="3">
        <f t="shared" si="2"/>
        <v>30</v>
      </c>
      <c r="T5">
        <v>2</v>
      </c>
      <c r="U5">
        <v>83</v>
      </c>
      <c r="V5">
        <v>89</v>
      </c>
      <c r="W5" t="s">
        <v>38</v>
      </c>
      <c r="X5" t="s">
        <v>46</v>
      </c>
      <c r="Y5">
        <v>56</v>
      </c>
      <c r="Z5">
        <v>24</v>
      </c>
      <c r="AA5">
        <v>10</v>
      </c>
      <c r="AB5">
        <v>30</v>
      </c>
      <c r="AC5">
        <v>116203</v>
      </c>
    </row>
    <row r="6" spans="1:29" x14ac:dyDescent="0.35">
      <c r="A6" t="s">
        <v>47</v>
      </c>
      <c r="B6" t="s">
        <v>40</v>
      </c>
      <c r="C6" t="s">
        <v>48</v>
      </c>
      <c r="D6" s="4">
        <v>45383</v>
      </c>
      <c r="E6" s="4">
        <v>45399</v>
      </c>
      <c r="F6" s="5">
        <f t="shared" si="0"/>
        <v>16</v>
      </c>
      <c r="G6">
        <v>22710</v>
      </c>
      <c r="H6" t="s">
        <v>36</v>
      </c>
      <c r="I6">
        <v>86</v>
      </c>
      <c r="J6">
        <v>15</v>
      </c>
      <c r="K6">
        <v>9</v>
      </c>
      <c r="L6" s="6">
        <f t="shared" si="1"/>
        <v>0.10465116279069768</v>
      </c>
      <c r="M6" t="s">
        <v>49</v>
      </c>
      <c r="N6">
        <v>22</v>
      </c>
      <c r="O6">
        <v>1308</v>
      </c>
      <c r="P6">
        <v>42</v>
      </c>
      <c r="R6">
        <v>65</v>
      </c>
      <c r="S6" s="3">
        <f t="shared" si="2"/>
        <v>23</v>
      </c>
      <c r="T6">
        <v>1</v>
      </c>
      <c r="U6">
        <v>75</v>
      </c>
      <c r="V6">
        <v>67</v>
      </c>
      <c r="W6" t="s">
        <v>38</v>
      </c>
      <c r="X6" t="s">
        <v>46</v>
      </c>
      <c r="Y6">
        <v>37</v>
      </c>
      <c r="Z6">
        <v>10</v>
      </c>
      <c r="AA6">
        <v>11</v>
      </c>
      <c r="AB6">
        <v>30</v>
      </c>
      <c r="AC6">
        <v>41275</v>
      </c>
    </row>
    <row r="7" spans="1:29" x14ac:dyDescent="0.35">
      <c r="A7" t="s">
        <v>50</v>
      </c>
      <c r="B7" t="s">
        <v>29</v>
      </c>
      <c r="C7" t="s">
        <v>51</v>
      </c>
      <c r="D7" s="4">
        <v>45769</v>
      </c>
      <c r="E7" s="4">
        <v>45805</v>
      </c>
      <c r="F7" s="5">
        <f t="shared" si="0"/>
        <v>36</v>
      </c>
      <c r="G7">
        <v>30292</v>
      </c>
      <c r="H7" t="s">
        <v>44</v>
      </c>
      <c r="I7">
        <v>79</v>
      </c>
      <c r="J7">
        <v>8</v>
      </c>
      <c r="K7">
        <v>5</v>
      </c>
      <c r="L7" s="6">
        <f t="shared" si="1"/>
        <v>6.3291139240506333E-2</v>
      </c>
      <c r="M7" t="s">
        <v>52</v>
      </c>
      <c r="N7">
        <v>9</v>
      </c>
      <c r="O7">
        <v>2543</v>
      </c>
      <c r="P7">
        <v>44</v>
      </c>
      <c r="R7">
        <v>57</v>
      </c>
      <c r="S7" s="3">
        <f t="shared" si="2"/>
        <v>13</v>
      </c>
      <c r="T7">
        <v>4</v>
      </c>
      <c r="U7">
        <v>96</v>
      </c>
      <c r="V7">
        <v>75</v>
      </c>
      <c r="W7" t="s">
        <v>33</v>
      </c>
      <c r="X7" t="s">
        <v>46</v>
      </c>
      <c r="Y7">
        <v>25</v>
      </c>
      <c r="Z7">
        <v>17</v>
      </c>
      <c r="AA7">
        <v>24</v>
      </c>
      <c r="AB7">
        <v>30</v>
      </c>
      <c r="AC7">
        <v>25027</v>
      </c>
    </row>
    <row r="8" spans="1:29" x14ac:dyDescent="0.35">
      <c r="A8" t="s">
        <v>53</v>
      </c>
      <c r="B8" t="s">
        <v>40</v>
      </c>
      <c r="C8" t="s">
        <v>54</v>
      </c>
      <c r="D8" s="4">
        <v>45555</v>
      </c>
      <c r="E8" s="4">
        <v>45570</v>
      </c>
      <c r="F8" s="5">
        <f t="shared" si="0"/>
        <v>15</v>
      </c>
      <c r="G8">
        <v>31774</v>
      </c>
      <c r="H8" t="s">
        <v>55</v>
      </c>
      <c r="I8">
        <v>157</v>
      </c>
      <c r="J8">
        <v>18</v>
      </c>
      <c r="K8">
        <v>9</v>
      </c>
      <c r="L8" s="6">
        <f t="shared" si="1"/>
        <v>5.7324840764331211E-2</v>
      </c>
      <c r="M8" t="s">
        <v>56</v>
      </c>
      <c r="N8">
        <v>57</v>
      </c>
      <c r="O8">
        <v>11127</v>
      </c>
      <c r="P8">
        <v>45</v>
      </c>
      <c r="R8">
        <v>70</v>
      </c>
      <c r="S8" s="3">
        <f t="shared" si="2"/>
        <v>25</v>
      </c>
      <c r="T8">
        <v>2</v>
      </c>
      <c r="U8">
        <v>91</v>
      </c>
      <c r="V8">
        <v>89</v>
      </c>
      <c r="W8" t="s">
        <v>38</v>
      </c>
      <c r="X8" t="s">
        <v>34</v>
      </c>
      <c r="Y8">
        <v>23</v>
      </c>
      <c r="Z8">
        <v>17</v>
      </c>
      <c r="AA8">
        <v>25</v>
      </c>
      <c r="AB8">
        <v>30</v>
      </c>
      <c r="AC8">
        <v>110051</v>
      </c>
    </row>
    <row r="9" spans="1:29" x14ac:dyDescent="0.35">
      <c r="A9" t="s">
        <v>57</v>
      </c>
      <c r="B9" t="s">
        <v>58</v>
      </c>
      <c r="C9" t="s">
        <v>30</v>
      </c>
      <c r="D9" s="4">
        <v>45695</v>
      </c>
      <c r="E9" s="4">
        <v>45707</v>
      </c>
      <c r="F9" s="5">
        <f t="shared" si="0"/>
        <v>12</v>
      </c>
      <c r="G9">
        <v>42864</v>
      </c>
      <c r="H9" t="s">
        <v>36</v>
      </c>
      <c r="I9">
        <v>52</v>
      </c>
      <c r="J9">
        <v>3</v>
      </c>
      <c r="K9">
        <v>2</v>
      </c>
      <c r="L9" s="6">
        <f t="shared" si="1"/>
        <v>3.8461538461538464E-2</v>
      </c>
      <c r="M9" t="s">
        <v>59</v>
      </c>
      <c r="N9">
        <v>49</v>
      </c>
      <c r="O9">
        <v>13631</v>
      </c>
      <c r="P9">
        <v>81</v>
      </c>
      <c r="R9">
        <v>100</v>
      </c>
      <c r="S9" s="3">
        <f t="shared" si="2"/>
        <v>19</v>
      </c>
      <c r="T9">
        <v>2</v>
      </c>
      <c r="U9">
        <v>80</v>
      </c>
      <c r="V9">
        <v>79</v>
      </c>
      <c r="W9" t="s">
        <v>38</v>
      </c>
      <c r="X9" t="s">
        <v>46</v>
      </c>
      <c r="Y9">
        <v>52</v>
      </c>
      <c r="Z9">
        <v>15</v>
      </c>
      <c r="AA9">
        <v>16</v>
      </c>
      <c r="AB9">
        <v>30</v>
      </c>
      <c r="AC9">
        <v>55574</v>
      </c>
    </row>
    <row r="10" spans="1:29" x14ac:dyDescent="0.35">
      <c r="A10" t="s">
        <v>60</v>
      </c>
      <c r="B10" t="s">
        <v>40</v>
      </c>
      <c r="C10" t="s">
        <v>30</v>
      </c>
      <c r="D10" s="4">
        <v>45728</v>
      </c>
      <c r="E10" s="4">
        <v>45764</v>
      </c>
      <c r="F10" s="5">
        <f t="shared" si="0"/>
        <v>36</v>
      </c>
      <c r="G10">
        <v>29448</v>
      </c>
      <c r="H10" t="s">
        <v>36</v>
      </c>
      <c r="I10">
        <v>30</v>
      </c>
      <c r="J10">
        <v>16</v>
      </c>
      <c r="K10">
        <v>9</v>
      </c>
      <c r="L10" s="6">
        <f t="shared" si="1"/>
        <v>0.3</v>
      </c>
      <c r="M10" t="s">
        <v>61</v>
      </c>
      <c r="N10">
        <v>14</v>
      </c>
      <c r="O10">
        <v>3171</v>
      </c>
      <c r="P10">
        <v>76</v>
      </c>
      <c r="R10">
        <v>96</v>
      </c>
      <c r="S10" s="3">
        <f t="shared" si="2"/>
        <v>20</v>
      </c>
      <c r="T10">
        <v>1</v>
      </c>
      <c r="U10">
        <v>79</v>
      </c>
      <c r="V10">
        <v>69</v>
      </c>
      <c r="W10" t="s">
        <v>38</v>
      </c>
      <c r="X10" t="s">
        <v>34</v>
      </c>
      <c r="Y10">
        <v>52</v>
      </c>
      <c r="Z10">
        <v>4</v>
      </c>
      <c r="AA10">
        <v>1</v>
      </c>
      <c r="AB10">
        <v>30</v>
      </c>
      <c r="AC10">
        <v>60942</v>
      </c>
    </row>
    <row r="11" spans="1:29" x14ac:dyDescent="0.35">
      <c r="A11" t="s">
        <v>62</v>
      </c>
      <c r="B11" t="s">
        <v>40</v>
      </c>
      <c r="C11" t="s">
        <v>63</v>
      </c>
      <c r="D11" s="4">
        <v>45646</v>
      </c>
      <c r="E11" s="4">
        <v>45653</v>
      </c>
      <c r="F11" s="5">
        <f t="shared" si="0"/>
        <v>7</v>
      </c>
      <c r="G11">
        <v>19951</v>
      </c>
      <c r="H11" t="s">
        <v>55</v>
      </c>
      <c r="I11">
        <v>107</v>
      </c>
      <c r="J11">
        <v>5</v>
      </c>
      <c r="K11">
        <v>2</v>
      </c>
      <c r="L11" s="6">
        <f t="shared" si="1"/>
        <v>1.8691588785046728E-2</v>
      </c>
      <c r="M11" t="s">
        <v>64</v>
      </c>
      <c r="N11">
        <v>72</v>
      </c>
      <c r="O11">
        <v>4781</v>
      </c>
      <c r="P11">
        <v>45</v>
      </c>
      <c r="R11">
        <v>66</v>
      </c>
      <c r="S11" s="3">
        <f t="shared" si="2"/>
        <v>21</v>
      </c>
      <c r="T11">
        <v>1</v>
      </c>
      <c r="U11">
        <v>89</v>
      </c>
      <c r="V11">
        <v>53</v>
      </c>
      <c r="W11" t="s">
        <v>38</v>
      </c>
      <c r="X11" t="s">
        <v>34</v>
      </c>
      <c r="Y11">
        <v>57</v>
      </c>
      <c r="Z11">
        <v>1</v>
      </c>
      <c r="AA11">
        <v>5</v>
      </c>
      <c r="AB11">
        <v>30</v>
      </c>
      <c r="AC11">
        <v>51554</v>
      </c>
    </row>
    <row r="12" spans="1:29" x14ac:dyDescent="0.35">
      <c r="A12" t="s">
        <v>65</v>
      </c>
      <c r="B12" t="s">
        <v>40</v>
      </c>
      <c r="C12" t="s">
        <v>63</v>
      </c>
      <c r="D12" s="4">
        <v>45588</v>
      </c>
      <c r="E12" s="4">
        <v>45617</v>
      </c>
      <c r="F12" s="5">
        <f t="shared" si="0"/>
        <v>29</v>
      </c>
      <c r="G12">
        <v>12361</v>
      </c>
      <c r="H12" t="s">
        <v>44</v>
      </c>
      <c r="I12">
        <v>179</v>
      </c>
      <c r="J12">
        <v>19</v>
      </c>
      <c r="K12">
        <v>16</v>
      </c>
      <c r="L12" s="6">
        <f t="shared" si="1"/>
        <v>8.9385474860335198E-2</v>
      </c>
      <c r="M12" t="s">
        <v>66</v>
      </c>
      <c r="N12">
        <v>78</v>
      </c>
      <c r="O12">
        <v>6572</v>
      </c>
      <c r="P12">
        <v>62</v>
      </c>
      <c r="R12">
        <v>87</v>
      </c>
      <c r="S12" s="3">
        <f t="shared" si="2"/>
        <v>25</v>
      </c>
      <c r="T12">
        <v>2</v>
      </c>
      <c r="U12">
        <v>90</v>
      </c>
      <c r="V12">
        <v>98</v>
      </c>
      <c r="W12" t="s">
        <v>38</v>
      </c>
      <c r="X12" t="s">
        <v>34</v>
      </c>
      <c r="Y12">
        <v>32</v>
      </c>
      <c r="Z12">
        <v>2</v>
      </c>
      <c r="AA12">
        <v>22</v>
      </c>
      <c r="AB12">
        <v>30</v>
      </c>
      <c r="AC12">
        <v>28609</v>
      </c>
    </row>
    <row r="13" spans="1:29" x14ac:dyDescent="0.35">
      <c r="A13" t="s">
        <v>67</v>
      </c>
      <c r="B13" t="s">
        <v>29</v>
      </c>
      <c r="C13" t="s">
        <v>54</v>
      </c>
      <c r="D13" s="4">
        <v>45691</v>
      </c>
      <c r="E13" s="4">
        <v>45749</v>
      </c>
      <c r="F13" s="5">
        <f t="shared" si="0"/>
        <v>58</v>
      </c>
      <c r="G13">
        <v>30493</v>
      </c>
      <c r="H13" t="s">
        <v>55</v>
      </c>
      <c r="I13">
        <v>106</v>
      </c>
      <c r="J13">
        <v>5</v>
      </c>
      <c r="K13">
        <v>2</v>
      </c>
      <c r="L13" s="6">
        <f t="shared" si="1"/>
        <v>1.8867924528301886E-2</v>
      </c>
      <c r="M13" t="s">
        <v>68</v>
      </c>
      <c r="N13">
        <v>10</v>
      </c>
      <c r="O13">
        <v>14629</v>
      </c>
      <c r="P13">
        <v>77</v>
      </c>
      <c r="R13">
        <v>93</v>
      </c>
      <c r="S13" s="3">
        <f t="shared" si="2"/>
        <v>16</v>
      </c>
      <c r="T13">
        <v>5</v>
      </c>
      <c r="U13">
        <v>89</v>
      </c>
      <c r="V13">
        <v>75</v>
      </c>
      <c r="W13" t="s">
        <v>38</v>
      </c>
      <c r="X13" t="s">
        <v>46</v>
      </c>
      <c r="Y13">
        <v>57</v>
      </c>
      <c r="Z13">
        <v>1</v>
      </c>
      <c r="AA13">
        <v>12</v>
      </c>
      <c r="AB13">
        <v>30</v>
      </c>
      <c r="AC13">
        <v>103849</v>
      </c>
    </row>
    <row r="14" spans="1:29" x14ac:dyDescent="0.35">
      <c r="A14" t="s">
        <v>69</v>
      </c>
      <c r="B14" t="s">
        <v>70</v>
      </c>
      <c r="C14" t="s">
        <v>30</v>
      </c>
      <c r="D14" s="4">
        <v>45766</v>
      </c>
      <c r="E14" s="4">
        <v>45787</v>
      </c>
      <c r="F14" s="5">
        <f t="shared" si="0"/>
        <v>21</v>
      </c>
      <c r="G14">
        <v>29417</v>
      </c>
      <c r="H14" t="s">
        <v>41</v>
      </c>
      <c r="I14">
        <v>142</v>
      </c>
      <c r="J14">
        <v>13</v>
      </c>
      <c r="K14">
        <v>2</v>
      </c>
      <c r="L14" s="6">
        <f t="shared" si="1"/>
        <v>1.4084507042253521E-2</v>
      </c>
      <c r="M14" t="s">
        <v>71</v>
      </c>
      <c r="N14">
        <v>56</v>
      </c>
      <c r="O14">
        <v>3909</v>
      </c>
      <c r="P14">
        <v>83</v>
      </c>
      <c r="R14">
        <v>93</v>
      </c>
      <c r="S14" s="3">
        <f t="shared" si="2"/>
        <v>10</v>
      </c>
      <c r="T14">
        <v>2</v>
      </c>
      <c r="U14">
        <v>75</v>
      </c>
      <c r="V14">
        <v>84</v>
      </c>
      <c r="W14" t="s">
        <v>33</v>
      </c>
      <c r="X14" t="s">
        <v>46</v>
      </c>
      <c r="Y14">
        <v>59</v>
      </c>
      <c r="Z14">
        <v>3</v>
      </c>
      <c r="AA14">
        <v>3</v>
      </c>
      <c r="AB14">
        <v>30</v>
      </c>
      <c r="AC14">
        <v>81419</v>
      </c>
    </row>
    <row r="15" spans="1:29" x14ac:dyDescent="0.35">
      <c r="A15" t="s">
        <v>72</v>
      </c>
      <c r="B15" t="s">
        <v>70</v>
      </c>
      <c r="C15" t="s">
        <v>54</v>
      </c>
      <c r="D15" s="4">
        <v>45626</v>
      </c>
      <c r="E15" s="4">
        <v>45667</v>
      </c>
      <c r="F15" s="5">
        <f t="shared" si="0"/>
        <v>41</v>
      </c>
      <c r="G15">
        <v>10715</v>
      </c>
      <c r="H15" t="s">
        <v>41</v>
      </c>
      <c r="I15">
        <v>91</v>
      </c>
      <c r="J15">
        <v>9</v>
      </c>
      <c r="K15">
        <v>9</v>
      </c>
      <c r="L15" s="6">
        <f t="shared" si="1"/>
        <v>9.8901098901098897E-2</v>
      </c>
      <c r="M15" t="s">
        <v>73</v>
      </c>
      <c r="N15">
        <v>72</v>
      </c>
      <c r="O15">
        <v>5122</v>
      </c>
      <c r="P15">
        <v>44</v>
      </c>
      <c r="R15">
        <v>48</v>
      </c>
      <c r="S15" s="3">
        <f t="shared" si="2"/>
        <v>4</v>
      </c>
      <c r="T15">
        <v>4</v>
      </c>
      <c r="U15">
        <v>81</v>
      </c>
      <c r="V15">
        <v>85</v>
      </c>
      <c r="W15" t="s">
        <v>38</v>
      </c>
      <c r="X15" t="s">
        <v>46</v>
      </c>
      <c r="Y15">
        <v>53</v>
      </c>
      <c r="Z15">
        <v>14</v>
      </c>
      <c r="AA15">
        <v>25</v>
      </c>
      <c r="AB15">
        <v>30</v>
      </c>
      <c r="AC15">
        <v>58266</v>
      </c>
    </row>
    <row r="16" spans="1:29" x14ac:dyDescent="0.35">
      <c r="A16" t="s">
        <v>74</v>
      </c>
      <c r="B16" t="s">
        <v>75</v>
      </c>
      <c r="C16" t="s">
        <v>54</v>
      </c>
      <c r="D16" s="4">
        <v>45568</v>
      </c>
      <c r="E16" s="4">
        <v>45597</v>
      </c>
      <c r="F16" s="5">
        <f t="shared" si="0"/>
        <v>29</v>
      </c>
      <c r="G16">
        <v>16159</v>
      </c>
      <c r="H16" t="s">
        <v>41</v>
      </c>
      <c r="I16">
        <v>117</v>
      </c>
      <c r="J16">
        <v>1</v>
      </c>
      <c r="K16">
        <v>1</v>
      </c>
      <c r="L16" s="6">
        <f t="shared" si="1"/>
        <v>8.5470085470085479E-3</v>
      </c>
      <c r="M16" t="s">
        <v>76</v>
      </c>
      <c r="N16">
        <v>52</v>
      </c>
      <c r="O16">
        <v>16198</v>
      </c>
      <c r="P16">
        <v>51</v>
      </c>
      <c r="R16">
        <v>54</v>
      </c>
      <c r="S16" s="3">
        <f t="shared" si="2"/>
        <v>3</v>
      </c>
      <c r="T16">
        <v>5</v>
      </c>
      <c r="U16">
        <v>97</v>
      </c>
      <c r="V16">
        <v>93</v>
      </c>
      <c r="W16" t="s">
        <v>38</v>
      </c>
      <c r="X16" t="s">
        <v>46</v>
      </c>
      <c r="Y16">
        <v>40</v>
      </c>
      <c r="Z16">
        <v>2</v>
      </c>
      <c r="AA16">
        <v>13</v>
      </c>
      <c r="AB16">
        <v>30</v>
      </c>
      <c r="AC16">
        <v>107609</v>
      </c>
    </row>
    <row r="17" spans="1:29" x14ac:dyDescent="0.35">
      <c r="A17" t="s">
        <v>77</v>
      </c>
      <c r="B17" t="s">
        <v>75</v>
      </c>
      <c r="C17" t="s">
        <v>54</v>
      </c>
      <c r="D17" s="4">
        <v>45629</v>
      </c>
      <c r="E17" s="4">
        <v>45682</v>
      </c>
      <c r="F17" s="5">
        <f t="shared" si="0"/>
        <v>53</v>
      </c>
      <c r="G17">
        <v>7680</v>
      </c>
      <c r="H17" t="s">
        <v>36</v>
      </c>
      <c r="I17">
        <v>75</v>
      </c>
      <c r="J17">
        <v>11</v>
      </c>
      <c r="K17">
        <v>3</v>
      </c>
      <c r="L17" s="6">
        <f t="shared" si="1"/>
        <v>0.04</v>
      </c>
      <c r="M17" t="s">
        <v>78</v>
      </c>
      <c r="N17">
        <v>30</v>
      </c>
      <c r="O17">
        <v>28195</v>
      </c>
      <c r="P17">
        <v>68</v>
      </c>
      <c r="R17">
        <v>83</v>
      </c>
      <c r="S17" s="3">
        <f t="shared" si="2"/>
        <v>15</v>
      </c>
      <c r="T17">
        <v>1</v>
      </c>
      <c r="U17">
        <v>93</v>
      </c>
      <c r="V17">
        <v>85</v>
      </c>
      <c r="W17" t="s">
        <v>38</v>
      </c>
      <c r="X17" t="s">
        <v>34</v>
      </c>
      <c r="Y17">
        <v>60</v>
      </c>
      <c r="Z17">
        <v>14</v>
      </c>
      <c r="AA17">
        <v>25</v>
      </c>
      <c r="AB17">
        <v>30</v>
      </c>
      <c r="AC17">
        <v>69008</v>
      </c>
    </row>
    <row r="18" spans="1:29" x14ac:dyDescent="0.35">
      <c r="A18" t="s">
        <v>79</v>
      </c>
      <c r="B18" t="s">
        <v>80</v>
      </c>
      <c r="C18" t="s">
        <v>30</v>
      </c>
      <c r="D18" s="4">
        <v>45337</v>
      </c>
      <c r="E18" s="4">
        <v>45380</v>
      </c>
      <c r="F18" s="5">
        <f t="shared" si="0"/>
        <v>43</v>
      </c>
      <c r="G18">
        <v>5790</v>
      </c>
      <c r="H18" t="s">
        <v>36</v>
      </c>
      <c r="I18">
        <v>97</v>
      </c>
      <c r="J18">
        <v>5</v>
      </c>
      <c r="K18">
        <v>1</v>
      </c>
      <c r="L18" s="6">
        <f t="shared" si="1"/>
        <v>1.0309278350515464E-2</v>
      </c>
      <c r="M18" t="s">
        <v>81</v>
      </c>
      <c r="N18">
        <v>33</v>
      </c>
      <c r="O18">
        <v>14006</v>
      </c>
      <c r="P18">
        <v>56</v>
      </c>
      <c r="R18">
        <v>76</v>
      </c>
      <c r="S18" s="3">
        <f t="shared" si="2"/>
        <v>20</v>
      </c>
      <c r="T18">
        <v>3</v>
      </c>
      <c r="U18">
        <v>75</v>
      </c>
      <c r="V18">
        <v>100</v>
      </c>
      <c r="W18" t="s">
        <v>38</v>
      </c>
      <c r="X18" t="s">
        <v>46</v>
      </c>
      <c r="Y18">
        <v>25</v>
      </c>
      <c r="Z18">
        <v>1</v>
      </c>
      <c r="AA18">
        <v>1</v>
      </c>
      <c r="AB18">
        <v>30</v>
      </c>
      <c r="AC18">
        <v>38664</v>
      </c>
    </row>
    <row r="19" spans="1:29" x14ac:dyDescent="0.35">
      <c r="A19" t="s">
        <v>82</v>
      </c>
      <c r="B19" t="s">
        <v>29</v>
      </c>
      <c r="C19" t="s">
        <v>51</v>
      </c>
      <c r="D19" s="4">
        <v>45469</v>
      </c>
      <c r="E19" s="4">
        <v>45509</v>
      </c>
      <c r="F19" s="5">
        <f t="shared" si="0"/>
        <v>40</v>
      </c>
      <c r="G19">
        <v>9251</v>
      </c>
      <c r="H19" t="s">
        <v>36</v>
      </c>
      <c r="I19">
        <v>197</v>
      </c>
      <c r="J19">
        <v>12</v>
      </c>
      <c r="K19">
        <v>1</v>
      </c>
      <c r="L19" s="6">
        <f t="shared" si="1"/>
        <v>5.076142131979695E-3</v>
      </c>
      <c r="M19" t="s">
        <v>83</v>
      </c>
      <c r="N19">
        <v>64</v>
      </c>
      <c r="O19">
        <v>16895</v>
      </c>
      <c r="P19">
        <v>70</v>
      </c>
      <c r="R19">
        <v>87</v>
      </c>
      <c r="S19" s="3">
        <f t="shared" si="2"/>
        <v>17</v>
      </c>
      <c r="T19">
        <v>3</v>
      </c>
      <c r="U19">
        <v>100</v>
      </c>
      <c r="V19">
        <v>76</v>
      </c>
      <c r="W19" t="s">
        <v>38</v>
      </c>
      <c r="X19" t="s">
        <v>46</v>
      </c>
      <c r="Y19">
        <v>55</v>
      </c>
      <c r="Z19">
        <v>2</v>
      </c>
      <c r="AA19">
        <v>24</v>
      </c>
      <c r="AB19">
        <v>30</v>
      </c>
      <c r="AC19">
        <v>77008</v>
      </c>
    </row>
    <row r="20" spans="1:29" x14ac:dyDescent="0.35">
      <c r="A20" t="s">
        <v>84</v>
      </c>
      <c r="B20" t="s">
        <v>70</v>
      </c>
      <c r="C20" t="s">
        <v>54</v>
      </c>
      <c r="D20" s="4">
        <v>45760</v>
      </c>
      <c r="E20" s="4">
        <v>45797</v>
      </c>
      <c r="F20" s="5">
        <f t="shared" si="0"/>
        <v>37</v>
      </c>
      <c r="G20">
        <v>20594</v>
      </c>
      <c r="H20" t="s">
        <v>36</v>
      </c>
      <c r="I20">
        <v>53</v>
      </c>
      <c r="J20">
        <v>13</v>
      </c>
      <c r="K20">
        <v>1</v>
      </c>
      <c r="L20" s="6">
        <f t="shared" si="1"/>
        <v>1.8867924528301886E-2</v>
      </c>
      <c r="M20" t="s">
        <v>85</v>
      </c>
      <c r="N20">
        <v>23</v>
      </c>
      <c r="O20">
        <v>15616</v>
      </c>
      <c r="P20">
        <v>61</v>
      </c>
      <c r="R20">
        <v>63</v>
      </c>
      <c r="S20" s="3">
        <f t="shared" si="2"/>
        <v>2</v>
      </c>
      <c r="T20">
        <v>2</v>
      </c>
      <c r="U20">
        <v>96</v>
      </c>
      <c r="V20">
        <v>84</v>
      </c>
      <c r="W20" t="s">
        <v>38</v>
      </c>
      <c r="X20" t="s">
        <v>46</v>
      </c>
      <c r="Y20">
        <v>46</v>
      </c>
      <c r="Z20">
        <v>15</v>
      </c>
      <c r="AA20">
        <v>5</v>
      </c>
      <c r="AB20">
        <v>30</v>
      </c>
      <c r="AC20">
        <v>116106</v>
      </c>
    </row>
    <row r="21" spans="1:29" x14ac:dyDescent="0.35">
      <c r="A21" t="s">
        <v>86</v>
      </c>
      <c r="B21" t="s">
        <v>58</v>
      </c>
      <c r="C21" t="s">
        <v>54</v>
      </c>
      <c r="D21" s="4">
        <v>45667</v>
      </c>
      <c r="E21" s="4">
        <v>45704</v>
      </c>
      <c r="F21" s="5">
        <f t="shared" si="0"/>
        <v>37</v>
      </c>
      <c r="G21">
        <v>18028</v>
      </c>
      <c r="H21" t="s">
        <v>36</v>
      </c>
      <c r="I21">
        <v>105</v>
      </c>
      <c r="J21">
        <v>4</v>
      </c>
      <c r="K21">
        <v>2</v>
      </c>
      <c r="L21" s="6">
        <f t="shared" si="1"/>
        <v>1.9047619047619049E-2</v>
      </c>
      <c r="M21" t="s">
        <v>87</v>
      </c>
      <c r="N21">
        <v>78</v>
      </c>
      <c r="O21">
        <v>27835</v>
      </c>
      <c r="P21">
        <v>79</v>
      </c>
      <c r="R21">
        <v>95</v>
      </c>
      <c r="S21" s="3">
        <f t="shared" si="2"/>
        <v>16</v>
      </c>
      <c r="T21">
        <v>4</v>
      </c>
      <c r="U21">
        <v>75</v>
      </c>
      <c r="V21">
        <v>54</v>
      </c>
      <c r="W21" t="s">
        <v>38</v>
      </c>
      <c r="X21" t="s">
        <v>46</v>
      </c>
      <c r="Y21">
        <v>59</v>
      </c>
      <c r="Z21">
        <v>3</v>
      </c>
      <c r="AA21">
        <v>5</v>
      </c>
      <c r="AB21">
        <v>30</v>
      </c>
      <c r="AC21">
        <v>105397</v>
      </c>
    </row>
    <row r="22" spans="1:29" x14ac:dyDescent="0.35">
      <c r="A22" t="s">
        <v>88</v>
      </c>
      <c r="B22" t="s">
        <v>80</v>
      </c>
      <c r="C22" t="s">
        <v>89</v>
      </c>
      <c r="D22" s="4">
        <v>45781</v>
      </c>
      <c r="E22" s="4">
        <v>45831</v>
      </c>
      <c r="F22" s="5">
        <f t="shared" si="0"/>
        <v>50</v>
      </c>
      <c r="G22">
        <v>24872</v>
      </c>
      <c r="H22" t="s">
        <v>36</v>
      </c>
      <c r="I22">
        <v>52</v>
      </c>
      <c r="J22">
        <v>6</v>
      </c>
      <c r="K22">
        <v>4</v>
      </c>
      <c r="L22" s="6">
        <f t="shared" si="1"/>
        <v>7.6923076923076927E-2</v>
      </c>
      <c r="M22" t="s">
        <v>90</v>
      </c>
      <c r="N22">
        <v>56</v>
      </c>
      <c r="O22">
        <v>4080</v>
      </c>
      <c r="P22">
        <v>74</v>
      </c>
      <c r="R22">
        <v>91</v>
      </c>
      <c r="S22" s="3">
        <f t="shared" si="2"/>
        <v>17</v>
      </c>
      <c r="T22">
        <v>2</v>
      </c>
      <c r="U22">
        <v>85</v>
      </c>
      <c r="V22">
        <v>61</v>
      </c>
      <c r="W22" t="s">
        <v>38</v>
      </c>
      <c r="X22" t="s">
        <v>34</v>
      </c>
      <c r="Y22">
        <v>29</v>
      </c>
      <c r="Z22">
        <v>4</v>
      </c>
      <c r="AA22">
        <v>7</v>
      </c>
      <c r="AB22">
        <v>30</v>
      </c>
      <c r="AC22">
        <v>52521</v>
      </c>
    </row>
    <row r="23" spans="1:29" x14ac:dyDescent="0.35">
      <c r="A23" t="s">
        <v>91</v>
      </c>
      <c r="B23" t="s">
        <v>40</v>
      </c>
      <c r="C23" t="s">
        <v>89</v>
      </c>
      <c r="D23" s="4">
        <v>45303</v>
      </c>
      <c r="E23" s="4">
        <v>45320</v>
      </c>
      <c r="F23" s="5">
        <f t="shared" si="0"/>
        <v>17</v>
      </c>
      <c r="G23">
        <v>33132</v>
      </c>
      <c r="H23" t="s">
        <v>55</v>
      </c>
      <c r="I23">
        <v>181</v>
      </c>
      <c r="J23">
        <v>7</v>
      </c>
      <c r="K23">
        <v>4</v>
      </c>
      <c r="L23" s="6">
        <f t="shared" si="1"/>
        <v>2.2099447513812154E-2</v>
      </c>
      <c r="M23" t="s">
        <v>92</v>
      </c>
      <c r="N23">
        <v>1</v>
      </c>
      <c r="O23">
        <v>25972</v>
      </c>
      <c r="P23">
        <v>56</v>
      </c>
      <c r="R23">
        <v>66</v>
      </c>
      <c r="S23" s="3">
        <f t="shared" si="2"/>
        <v>10</v>
      </c>
      <c r="T23">
        <v>1</v>
      </c>
      <c r="U23">
        <v>89</v>
      </c>
      <c r="V23">
        <v>64</v>
      </c>
      <c r="W23" t="s">
        <v>33</v>
      </c>
      <c r="X23" t="s">
        <v>46</v>
      </c>
      <c r="Y23">
        <v>30</v>
      </c>
      <c r="Z23">
        <v>6</v>
      </c>
      <c r="AA23">
        <v>24</v>
      </c>
      <c r="AB23">
        <v>30</v>
      </c>
      <c r="AC23">
        <v>89043</v>
      </c>
    </row>
    <row r="24" spans="1:29" x14ac:dyDescent="0.35">
      <c r="A24" t="s">
        <v>93</v>
      </c>
      <c r="B24" t="s">
        <v>40</v>
      </c>
      <c r="C24" t="s">
        <v>48</v>
      </c>
      <c r="D24" s="4">
        <v>45708</v>
      </c>
      <c r="E24" s="4">
        <v>45758</v>
      </c>
      <c r="F24" s="5">
        <f t="shared" si="0"/>
        <v>50</v>
      </c>
      <c r="G24">
        <v>21184</v>
      </c>
      <c r="H24" t="s">
        <v>55</v>
      </c>
      <c r="I24">
        <v>66</v>
      </c>
      <c r="J24">
        <v>9</v>
      </c>
      <c r="K24">
        <v>6</v>
      </c>
      <c r="L24" s="6">
        <f t="shared" si="1"/>
        <v>9.0909090909090912E-2</v>
      </c>
      <c r="M24" t="s">
        <v>94</v>
      </c>
      <c r="N24">
        <v>73</v>
      </c>
      <c r="O24">
        <v>3801</v>
      </c>
      <c r="P24">
        <v>84</v>
      </c>
      <c r="R24">
        <v>96</v>
      </c>
      <c r="S24" s="3">
        <f t="shared" si="2"/>
        <v>12</v>
      </c>
      <c r="T24">
        <v>2</v>
      </c>
      <c r="U24">
        <v>94</v>
      </c>
      <c r="V24">
        <v>87</v>
      </c>
      <c r="W24" t="s">
        <v>38</v>
      </c>
      <c r="X24" t="s">
        <v>46</v>
      </c>
      <c r="Y24">
        <v>34</v>
      </c>
      <c r="Z24">
        <v>14</v>
      </c>
      <c r="AA24">
        <v>24</v>
      </c>
      <c r="AB24">
        <v>30</v>
      </c>
      <c r="AC24">
        <v>109368</v>
      </c>
    </row>
    <row r="25" spans="1:29" x14ac:dyDescent="0.35">
      <c r="A25" t="s">
        <v>95</v>
      </c>
      <c r="B25" t="s">
        <v>29</v>
      </c>
      <c r="C25" t="s">
        <v>48</v>
      </c>
      <c r="D25" s="4">
        <v>45693</v>
      </c>
      <c r="E25" s="4">
        <v>45707</v>
      </c>
      <c r="F25" s="5">
        <f t="shared" si="0"/>
        <v>14</v>
      </c>
      <c r="G25">
        <v>30883</v>
      </c>
      <c r="H25" t="s">
        <v>55</v>
      </c>
      <c r="I25">
        <v>198</v>
      </c>
      <c r="J25">
        <v>17</v>
      </c>
      <c r="K25">
        <v>11</v>
      </c>
      <c r="L25" s="6">
        <f t="shared" si="1"/>
        <v>5.5555555555555552E-2</v>
      </c>
      <c r="M25" t="s">
        <v>96</v>
      </c>
      <c r="N25">
        <v>64</v>
      </c>
      <c r="O25">
        <v>19638</v>
      </c>
      <c r="P25">
        <v>44</v>
      </c>
      <c r="R25">
        <v>58</v>
      </c>
      <c r="S25" s="3">
        <f t="shared" si="2"/>
        <v>14</v>
      </c>
      <c r="T25">
        <v>1</v>
      </c>
      <c r="U25">
        <v>93</v>
      </c>
      <c r="V25">
        <v>59</v>
      </c>
      <c r="W25" t="s">
        <v>38</v>
      </c>
      <c r="X25" t="s">
        <v>46</v>
      </c>
      <c r="Y25">
        <v>40</v>
      </c>
      <c r="Z25">
        <v>18</v>
      </c>
      <c r="AA25">
        <v>15</v>
      </c>
      <c r="AB25">
        <v>30</v>
      </c>
      <c r="AC25">
        <v>90092</v>
      </c>
    </row>
    <row r="26" spans="1:29" x14ac:dyDescent="0.35">
      <c r="A26" t="s">
        <v>97</v>
      </c>
      <c r="B26" t="s">
        <v>80</v>
      </c>
      <c r="C26" t="s">
        <v>89</v>
      </c>
      <c r="D26" s="4">
        <v>45441</v>
      </c>
      <c r="E26" s="4">
        <v>45455</v>
      </c>
      <c r="F26" s="5">
        <f t="shared" si="0"/>
        <v>14</v>
      </c>
      <c r="G26">
        <v>48025</v>
      </c>
      <c r="H26" t="s">
        <v>36</v>
      </c>
      <c r="I26">
        <v>192</v>
      </c>
      <c r="J26">
        <v>5</v>
      </c>
      <c r="K26">
        <v>3</v>
      </c>
      <c r="L26" s="6">
        <f t="shared" si="1"/>
        <v>1.5625E-2</v>
      </c>
      <c r="M26" t="s">
        <v>98</v>
      </c>
      <c r="N26">
        <v>72</v>
      </c>
      <c r="O26">
        <v>10129</v>
      </c>
      <c r="P26">
        <v>65</v>
      </c>
      <c r="R26">
        <v>82</v>
      </c>
      <c r="S26" s="3">
        <f t="shared" si="2"/>
        <v>17</v>
      </c>
      <c r="T26">
        <v>5</v>
      </c>
      <c r="U26">
        <v>94</v>
      </c>
      <c r="V26">
        <v>92</v>
      </c>
      <c r="W26" t="s">
        <v>38</v>
      </c>
      <c r="X26" t="s">
        <v>46</v>
      </c>
      <c r="Y26">
        <v>44</v>
      </c>
      <c r="Z26">
        <v>13</v>
      </c>
      <c r="AA26">
        <v>17</v>
      </c>
      <c r="AB26">
        <v>30</v>
      </c>
      <c r="AC26">
        <v>116038</v>
      </c>
    </row>
    <row r="27" spans="1:29" x14ac:dyDescent="0.35">
      <c r="A27" t="s">
        <v>99</v>
      </c>
      <c r="B27" t="s">
        <v>58</v>
      </c>
      <c r="C27" t="s">
        <v>89</v>
      </c>
      <c r="D27" s="4">
        <v>45686</v>
      </c>
      <c r="E27" s="4">
        <v>45722</v>
      </c>
      <c r="F27" s="5">
        <f t="shared" si="0"/>
        <v>36</v>
      </c>
      <c r="G27">
        <v>37128</v>
      </c>
      <c r="H27" t="s">
        <v>41</v>
      </c>
      <c r="I27">
        <v>93</v>
      </c>
      <c r="J27">
        <v>9</v>
      </c>
      <c r="K27">
        <v>8</v>
      </c>
      <c r="L27" s="6">
        <f t="shared" si="1"/>
        <v>8.6021505376344093E-2</v>
      </c>
      <c r="M27" t="s">
        <v>100</v>
      </c>
      <c r="N27">
        <v>34</v>
      </c>
      <c r="O27">
        <v>4016</v>
      </c>
      <c r="P27">
        <v>84</v>
      </c>
      <c r="R27">
        <v>94</v>
      </c>
      <c r="S27" s="3">
        <f t="shared" si="2"/>
        <v>10</v>
      </c>
      <c r="T27">
        <v>4</v>
      </c>
      <c r="U27">
        <v>81</v>
      </c>
      <c r="V27">
        <v>58</v>
      </c>
      <c r="W27" t="s">
        <v>38</v>
      </c>
      <c r="X27" t="s">
        <v>34</v>
      </c>
      <c r="Y27">
        <v>44</v>
      </c>
      <c r="Z27">
        <v>16</v>
      </c>
      <c r="AA27">
        <v>22</v>
      </c>
      <c r="AB27">
        <v>30</v>
      </c>
      <c r="AC27">
        <v>51915</v>
      </c>
    </row>
    <row r="28" spans="1:29" x14ac:dyDescent="0.35">
      <c r="A28" t="s">
        <v>101</v>
      </c>
      <c r="B28" t="s">
        <v>70</v>
      </c>
      <c r="C28" t="s">
        <v>89</v>
      </c>
      <c r="D28" s="4">
        <v>45292</v>
      </c>
      <c r="E28" s="4">
        <v>45306</v>
      </c>
      <c r="F28" s="5">
        <f t="shared" si="0"/>
        <v>14</v>
      </c>
      <c r="G28">
        <v>23804</v>
      </c>
      <c r="H28" t="s">
        <v>44</v>
      </c>
      <c r="I28">
        <v>70</v>
      </c>
      <c r="J28">
        <v>18</v>
      </c>
      <c r="K28">
        <v>12</v>
      </c>
      <c r="L28" s="6">
        <f t="shared" si="1"/>
        <v>0.17142857142857143</v>
      </c>
      <c r="M28" t="s">
        <v>102</v>
      </c>
      <c r="N28">
        <v>44</v>
      </c>
      <c r="O28">
        <v>1600</v>
      </c>
      <c r="P28">
        <v>51</v>
      </c>
      <c r="R28">
        <v>79</v>
      </c>
      <c r="S28" s="3">
        <f t="shared" si="2"/>
        <v>28</v>
      </c>
      <c r="T28">
        <v>2</v>
      </c>
      <c r="U28">
        <v>91</v>
      </c>
      <c r="V28">
        <v>63</v>
      </c>
      <c r="W28" t="s">
        <v>38</v>
      </c>
      <c r="X28" t="s">
        <v>46</v>
      </c>
      <c r="Y28">
        <v>47</v>
      </c>
      <c r="Z28">
        <v>8</v>
      </c>
      <c r="AA28">
        <v>3</v>
      </c>
      <c r="AB28">
        <v>30</v>
      </c>
      <c r="AC28">
        <v>65396</v>
      </c>
    </row>
    <row r="29" spans="1:29" x14ac:dyDescent="0.35">
      <c r="A29" t="s">
        <v>103</v>
      </c>
      <c r="B29" t="s">
        <v>58</v>
      </c>
      <c r="C29" t="s">
        <v>54</v>
      </c>
      <c r="D29" s="4">
        <v>45408</v>
      </c>
      <c r="E29" s="4">
        <v>45456</v>
      </c>
      <c r="F29" s="5">
        <f t="shared" si="0"/>
        <v>48</v>
      </c>
      <c r="G29">
        <v>43688</v>
      </c>
      <c r="H29" t="s">
        <v>55</v>
      </c>
      <c r="I29">
        <v>183</v>
      </c>
      <c r="J29">
        <v>1</v>
      </c>
      <c r="K29">
        <v>1</v>
      </c>
      <c r="L29" s="6">
        <f t="shared" si="1"/>
        <v>5.4644808743169399E-3</v>
      </c>
      <c r="M29" t="s">
        <v>104</v>
      </c>
      <c r="N29">
        <v>29</v>
      </c>
      <c r="O29">
        <v>19555</v>
      </c>
      <c r="P29">
        <v>42</v>
      </c>
      <c r="R29">
        <v>68</v>
      </c>
      <c r="S29" s="3">
        <f t="shared" si="2"/>
        <v>26</v>
      </c>
      <c r="T29">
        <v>1</v>
      </c>
      <c r="U29">
        <v>77</v>
      </c>
      <c r="V29">
        <v>85</v>
      </c>
      <c r="W29" t="s">
        <v>38</v>
      </c>
      <c r="X29" t="s">
        <v>34</v>
      </c>
      <c r="Y29">
        <v>54</v>
      </c>
      <c r="Z29">
        <v>14</v>
      </c>
      <c r="AA29">
        <v>10</v>
      </c>
      <c r="AB29">
        <v>30</v>
      </c>
      <c r="AC29">
        <v>103645</v>
      </c>
    </row>
    <row r="30" spans="1:29" x14ac:dyDescent="0.35">
      <c r="A30" t="s">
        <v>105</v>
      </c>
      <c r="B30" t="s">
        <v>75</v>
      </c>
      <c r="C30" t="s">
        <v>63</v>
      </c>
      <c r="D30" s="4">
        <v>45616</v>
      </c>
      <c r="E30" s="4">
        <v>45638</v>
      </c>
      <c r="F30" s="5">
        <f t="shared" si="0"/>
        <v>22</v>
      </c>
      <c r="G30">
        <v>27751</v>
      </c>
      <c r="H30" t="s">
        <v>31</v>
      </c>
      <c r="I30">
        <v>58</v>
      </c>
      <c r="J30">
        <v>20</v>
      </c>
      <c r="K30">
        <v>20</v>
      </c>
      <c r="L30" s="6">
        <f t="shared" si="1"/>
        <v>0.34482758620689657</v>
      </c>
      <c r="M30" t="s">
        <v>106</v>
      </c>
      <c r="N30">
        <v>48</v>
      </c>
      <c r="O30">
        <v>27842</v>
      </c>
      <c r="P30">
        <v>66</v>
      </c>
      <c r="R30">
        <v>75</v>
      </c>
      <c r="S30" s="3">
        <f t="shared" si="2"/>
        <v>9</v>
      </c>
      <c r="T30">
        <v>1</v>
      </c>
      <c r="U30">
        <v>81</v>
      </c>
      <c r="V30">
        <v>79</v>
      </c>
      <c r="W30" t="s">
        <v>38</v>
      </c>
      <c r="X30" t="s">
        <v>46</v>
      </c>
      <c r="Y30">
        <v>46</v>
      </c>
      <c r="Z30">
        <v>15</v>
      </c>
      <c r="AA30">
        <v>10</v>
      </c>
      <c r="AB30">
        <v>30</v>
      </c>
      <c r="AC30">
        <v>72631</v>
      </c>
    </row>
    <row r="31" spans="1:29" x14ac:dyDescent="0.35">
      <c r="A31" t="s">
        <v>107</v>
      </c>
      <c r="B31" t="s">
        <v>75</v>
      </c>
      <c r="C31" t="s">
        <v>51</v>
      </c>
      <c r="D31" s="4">
        <v>45735</v>
      </c>
      <c r="E31" s="4">
        <v>45785</v>
      </c>
      <c r="F31" s="5">
        <f t="shared" si="0"/>
        <v>50</v>
      </c>
      <c r="G31">
        <v>37678</v>
      </c>
      <c r="H31" t="s">
        <v>44</v>
      </c>
      <c r="I31">
        <v>100</v>
      </c>
      <c r="J31">
        <v>20</v>
      </c>
      <c r="K31">
        <v>18</v>
      </c>
      <c r="L31" s="6">
        <f t="shared" si="1"/>
        <v>0.18</v>
      </c>
      <c r="M31" t="s">
        <v>108</v>
      </c>
      <c r="N31">
        <v>65</v>
      </c>
      <c r="O31">
        <v>29884</v>
      </c>
      <c r="P31">
        <v>70</v>
      </c>
      <c r="R31">
        <v>80</v>
      </c>
      <c r="S31" s="3">
        <f t="shared" si="2"/>
        <v>10</v>
      </c>
      <c r="T31">
        <v>4</v>
      </c>
      <c r="U31">
        <v>90</v>
      </c>
      <c r="V31">
        <v>86</v>
      </c>
      <c r="W31" t="s">
        <v>38</v>
      </c>
      <c r="X31" t="s">
        <v>46</v>
      </c>
      <c r="Y31">
        <v>29</v>
      </c>
      <c r="Z31">
        <v>12</v>
      </c>
      <c r="AA31">
        <v>20</v>
      </c>
      <c r="AB31">
        <v>30</v>
      </c>
      <c r="AC31">
        <v>25428</v>
      </c>
    </row>
    <row r="32" spans="1:29" x14ac:dyDescent="0.35">
      <c r="A32" t="s">
        <v>109</v>
      </c>
      <c r="B32" t="s">
        <v>80</v>
      </c>
      <c r="C32" t="s">
        <v>48</v>
      </c>
      <c r="D32" s="4">
        <v>45582</v>
      </c>
      <c r="E32" s="4">
        <v>45606</v>
      </c>
      <c r="F32" s="5">
        <f t="shared" si="0"/>
        <v>24</v>
      </c>
      <c r="G32">
        <v>31134</v>
      </c>
      <c r="H32" t="s">
        <v>41</v>
      </c>
      <c r="I32">
        <v>111</v>
      </c>
      <c r="J32">
        <v>16</v>
      </c>
      <c r="K32">
        <v>11</v>
      </c>
      <c r="L32" s="6">
        <f t="shared" si="1"/>
        <v>9.90990990990991E-2</v>
      </c>
      <c r="M32" t="s">
        <v>110</v>
      </c>
      <c r="N32">
        <v>18</v>
      </c>
      <c r="O32">
        <v>23871</v>
      </c>
      <c r="P32">
        <v>67</v>
      </c>
      <c r="R32">
        <v>77</v>
      </c>
      <c r="S32" s="3">
        <f t="shared" si="2"/>
        <v>10</v>
      </c>
      <c r="T32">
        <v>2</v>
      </c>
      <c r="U32">
        <v>100</v>
      </c>
      <c r="V32">
        <v>86</v>
      </c>
      <c r="W32" t="s">
        <v>38</v>
      </c>
      <c r="X32" t="s">
        <v>46</v>
      </c>
      <c r="Y32">
        <v>56</v>
      </c>
      <c r="Z32">
        <v>3</v>
      </c>
      <c r="AA32">
        <v>13</v>
      </c>
      <c r="AB32">
        <v>30</v>
      </c>
      <c r="AC32">
        <v>50415</v>
      </c>
    </row>
    <row r="33" spans="1:29" x14ac:dyDescent="0.35">
      <c r="A33" t="s">
        <v>111</v>
      </c>
      <c r="B33" t="s">
        <v>75</v>
      </c>
      <c r="C33" t="s">
        <v>63</v>
      </c>
      <c r="D33" s="4">
        <v>45438</v>
      </c>
      <c r="E33" s="4">
        <v>45462</v>
      </c>
      <c r="F33" s="5">
        <f t="shared" si="0"/>
        <v>24</v>
      </c>
      <c r="G33">
        <v>42799</v>
      </c>
      <c r="H33" t="s">
        <v>41</v>
      </c>
      <c r="I33">
        <v>55</v>
      </c>
      <c r="J33">
        <v>3</v>
      </c>
      <c r="K33">
        <v>2</v>
      </c>
      <c r="L33" s="6">
        <f t="shared" si="1"/>
        <v>3.6363636363636362E-2</v>
      </c>
      <c r="M33" t="s">
        <v>112</v>
      </c>
      <c r="N33">
        <v>21</v>
      </c>
      <c r="O33">
        <v>16251</v>
      </c>
      <c r="P33">
        <v>57</v>
      </c>
      <c r="R33">
        <v>83</v>
      </c>
      <c r="S33" s="3">
        <f t="shared" si="2"/>
        <v>26</v>
      </c>
      <c r="T33">
        <v>2</v>
      </c>
      <c r="U33">
        <v>76</v>
      </c>
      <c r="V33">
        <v>81</v>
      </c>
      <c r="W33" t="s">
        <v>38</v>
      </c>
      <c r="X33" t="s">
        <v>46</v>
      </c>
      <c r="Y33">
        <v>50</v>
      </c>
      <c r="Z33">
        <v>22</v>
      </c>
      <c r="AA33">
        <v>5</v>
      </c>
      <c r="AB33">
        <v>30</v>
      </c>
      <c r="AC33">
        <v>63544</v>
      </c>
    </row>
    <row r="34" spans="1:29" x14ac:dyDescent="0.35">
      <c r="A34" t="s">
        <v>113</v>
      </c>
      <c r="B34" t="s">
        <v>80</v>
      </c>
      <c r="C34" t="s">
        <v>54</v>
      </c>
      <c r="D34" s="4">
        <v>45292</v>
      </c>
      <c r="E34" s="4">
        <v>45349</v>
      </c>
      <c r="F34" s="5">
        <f t="shared" si="0"/>
        <v>57</v>
      </c>
      <c r="G34">
        <v>7717</v>
      </c>
      <c r="H34" t="s">
        <v>31</v>
      </c>
      <c r="I34">
        <v>146</v>
      </c>
      <c r="J34">
        <v>10</v>
      </c>
      <c r="K34">
        <v>4</v>
      </c>
      <c r="L34" s="6">
        <f t="shared" si="1"/>
        <v>2.7397260273972601E-2</v>
      </c>
      <c r="M34" t="s">
        <v>114</v>
      </c>
      <c r="N34">
        <v>25</v>
      </c>
      <c r="O34">
        <v>13233</v>
      </c>
      <c r="P34">
        <v>66</v>
      </c>
      <c r="R34">
        <v>72</v>
      </c>
      <c r="S34" s="3">
        <f t="shared" si="2"/>
        <v>6</v>
      </c>
      <c r="T34">
        <v>5</v>
      </c>
      <c r="U34">
        <v>83</v>
      </c>
      <c r="V34">
        <v>50</v>
      </c>
      <c r="W34" t="s">
        <v>38</v>
      </c>
      <c r="X34" t="s">
        <v>46</v>
      </c>
      <c r="Y34">
        <v>52</v>
      </c>
      <c r="Z34">
        <v>1</v>
      </c>
      <c r="AA34">
        <v>10</v>
      </c>
      <c r="AB34">
        <v>30</v>
      </c>
      <c r="AC34">
        <v>109913</v>
      </c>
    </row>
    <row r="35" spans="1:29" x14ac:dyDescent="0.35">
      <c r="A35" t="s">
        <v>115</v>
      </c>
      <c r="B35" t="s">
        <v>40</v>
      </c>
      <c r="C35" t="s">
        <v>51</v>
      </c>
      <c r="D35" s="4">
        <v>45414</v>
      </c>
      <c r="E35" s="4">
        <v>45473</v>
      </c>
      <c r="F35" s="5">
        <f t="shared" si="0"/>
        <v>59</v>
      </c>
      <c r="G35">
        <v>49913</v>
      </c>
      <c r="H35" t="s">
        <v>36</v>
      </c>
      <c r="I35">
        <v>74</v>
      </c>
      <c r="J35">
        <v>18</v>
      </c>
      <c r="K35">
        <v>14</v>
      </c>
      <c r="L35" s="6">
        <f t="shared" si="1"/>
        <v>0.1891891891891892</v>
      </c>
      <c r="M35" t="s">
        <v>116</v>
      </c>
      <c r="N35">
        <v>71</v>
      </c>
      <c r="O35">
        <v>4184</v>
      </c>
      <c r="P35">
        <v>50</v>
      </c>
      <c r="R35">
        <v>55</v>
      </c>
      <c r="S35" s="3">
        <f t="shared" si="2"/>
        <v>5</v>
      </c>
      <c r="T35">
        <v>4</v>
      </c>
      <c r="U35">
        <v>84</v>
      </c>
      <c r="V35">
        <v>57</v>
      </c>
      <c r="W35" t="s">
        <v>38</v>
      </c>
      <c r="X35" t="s">
        <v>34</v>
      </c>
      <c r="Y35">
        <v>42</v>
      </c>
      <c r="Z35">
        <v>4</v>
      </c>
      <c r="AA35">
        <v>10</v>
      </c>
      <c r="AB35">
        <v>30</v>
      </c>
      <c r="AC35">
        <v>32901</v>
      </c>
    </row>
    <row r="36" spans="1:29" x14ac:dyDescent="0.35">
      <c r="A36" t="s">
        <v>117</v>
      </c>
      <c r="B36" t="s">
        <v>29</v>
      </c>
      <c r="C36" t="s">
        <v>89</v>
      </c>
      <c r="D36" s="4">
        <v>45748</v>
      </c>
      <c r="E36" s="4">
        <v>45760</v>
      </c>
      <c r="F36" s="5">
        <f t="shared" si="0"/>
        <v>12</v>
      </c>
      <c r="G36">
        <v>17163</v>
      </c>
      <c r="H36" t="s">
        <v>41</v>
      </c>
      <c r="I36">
        <v>109</v>
      </c>
      <c r="J36">
        <v>6</v>
      </c>
      <c r="K36">
        <v>3</v>
      </c>
      <c r="L36" s="6">
        <f t="shared" si="1"/>
        <v>2.7522935779816515E-2</v>
      </c>
      <c r="M36" t="s">
        <v>118</v>
      </c>
      <c r="N36">
        <v>55</v>
      </c>
      <c r="O36">
        <v>4876</v>
      </c>
      <c r="P36">
        <v>85</v>
      </c>
      <c r="R36">
        <v>87</v>
      </c>
      <c r="S36" s="3">
        <f t="shared" si="2"/>
        <v>2</v>
      </c>
      <c r="T36">
        <v>2</v>
      </c>
      <c r="U36">
        <v>97</v>
      </c>
      <c r="V36">
        <v>61</v>
      </c>
      <c r="W36" t="s">
        <v>33</v>
      </c>
      <c r="X36" t="s">
        <v>46</v>
      </c>
      <c r="Y36">
        <v>35</v>
      </c>
      <c r="Z36">
        <v>10</v>
      </c>
      <c r="AA36">
        <v>12</v>
      </c>
      <c r="AB36">
        <v>30</v>
      </c>
      <c r="AC36">
        <v>119614</v>
      </c>
    </row>
    <row r="37" spans="1:29" x14ac:dyDescent="0.35">
      <c r="A37" t="s">
        <v>119</v>
      </c>
      <c r="B37" t="s">
        <v>75</v>
      </c>
      <c r="C37" t="s">
        <v>89</v>
      </c>
      <c r="D37" s="4">
        <v>45657</v>
      </c>
      <c r="E37" s="4">
        <v>45679</v>
      </c>
      <c r="F37" s="5">
        <f t="shared" si="0"/>
        <v>22</v>
      </c>
      <c r="G37">
        <v>37049</v>
      </c>
      <c r="H37" t="s">
        <v>55</v>
      </c>
      <c r="I37">
        <v>112</v>
      </c>
      <c r="J37">
        <v>12</v>
      </c>
      <c r="K37">
        <v>11</v>
      </c>
      <c r="L37" s="6">
        <f t="shared" si="1"/>
        <v>9.8214285714285712E-2</v>
      </c>
      <c r="M37" t="s">
        <v>120</v>
      </c>
      <c r="N37">
        <v>47</v>
      </c>
      <c r="O37">
        <v>24020</v>
      </c>
      <c r="P37">
        <v>77</v>
      </c>
      <c r="R37">
        <v>83</v>
      </c>
      <c r="S37" s="3">
        <f t="shared" si="2"/>
        <v>6</v>
      </c>
      <c r="T37">
        <v>5</v>
      </c>
      <c r="U37">
        <v>77</v>
      </c>
      <c r="V37">
        <v>100</v>
      </c>
      <c r="W37" t="s">
        <v>38</v>
      </c>
      <c r="X37" t="s">
        <v>34</v>
      </c>
      <c r="Y37">
        <v>48</v>
      </c>
      <c r="Z37">
        <v>16</v>
      </c>
      <c r="AA37">
        <v>9</v>
      </c>
      <c r="AB37">
        <v>30</v>
      </c>
      <c r="AC37">
        <v>77879</v>
      </c>
    </row>
    <row r="38" spans="1:29" x14ac:dyDescent="0.35">
      <c r="A38" t="s">
        <v>121</v>
      </c>
      <c r="B38" t="s">
        <v>40</v>
      </c>
      <c r="C38" t="s">
        <v>63</v>
      </c>
      <c r="D38" s="4">
        <v>45515</v>
      </c>
      <c r="E38" s="4">
        <v>45524</v>
      </c>
      <c r="F38" s="5">
        <f t="shared" si="0"/>
        <v>9</v>
      </c>
      <c r="G38">
        <v>14870</v>
      </c>
      <c r="H38" t="s">
        <v>31</v>
      </c>
      <c r="I38">
        <v>73</v>
      </c>
      <c r="J38">
        <v>2</v>
      </c>
      <c r="K38">
        <v>2</v>
      </c>
      <c r="L38" s="6">
        <f t="shared" si="1"/>
        <v>2.7397260273972601E-2</v>
      </c>
      <c r="M38" t="s">
        <v>122</v>
      </c>
      <c r="N38">
        <v>3</v>
      </c>
      <c r="O38">
        <v>17038</v>
      </c>
      <c r="P38">
        <v>76</v>
      </c>
      <c r="R38">
        <v>96</v>
      </c>
      <c r="S38" s="3">
        <f t="shared" si="2"/>
        <v>20</v>
      </c>
      <c r="T38">
        <v>3</v>
      </c>
      <c r="U38">
        <v>94</v>
      </c>
      <c r="V38">
        <v>97</v>
      </c>
      <c r="W38" t="s">
        <v>33</v>
      </c>
      <c r="X38" t="s">
        <v>46</v>
      </c>
      <c r="Y38">
        <v>30</v>
      </c>
      <c r="Z38">
        <v>19</v>
      </c>
      <c r="AA38">
        <v>13</v>
      </c>
      <c r="AB38">
        <v>30</v>
      </c>
      <c r="AC38">
        <v>50248</v>
      </c>
    </row>
    <row r="39" spans="1:29" x14ac:dyDescent="0.35">
      <c r="A39" t="s">
        <v>123</v>
      </c>
      <c r="B39" t="s">
        <v>75</v>
      </c>
      <c r="C39" t="s">
        <v>54</v>
      </c>
      <c r="D39" s="4">
        <v>45557</v>
      </c>
      <c r="E39" s="4">
        <v>45583</v>
      </c>
      <c r="F39" s="5">
        <f t="shared" si="0"/>
        <v>26</v>
      </c>
      <c r="G39">
        <v>25654</v>
      </c>
      <c r="H39" t="s">
        <v>31</v>
      </c>
      <c r="I39">
        <v>18</v>
      </c>
      <c r="J39">
        <v>7</v>
      </c>
      <c r="K39">
        <v>1</v>
      </c>
      <c r="L39" s="6">
        <f t="shared" si="1"/>
        <v>5.5555555555555552E-2</v>
      </c>
      <c r="M39" t="s">
        <v>124</v>
      </c>
      <c r="N39">
        <v>32</v>
      </c>
      <c r="O39">
        <v>25264</v>
      </c>
      <c r="P39">
        <v>56</v>
      </c>
      <c r="R39">
        <v>73</v>
      </c>
      <c r="S39" s="3">
        <f t="shared" si="2"/>
        <v>17</v>
      </c>
      <c r="T39">
        <v>4</v>
      </c>
      <c r="U39">
        <v>94</v>
      </c>
      <c r="V39">
        <v>65</v>
      </c>
      <c r="W39" t="s">
        <v>38</v>
      </c>
      <c r="X39" t="s">
        <v>46</v>
      </c>
      <c r="Y39">
        <v>23</v>
      </c>
      <c r="Z39">
        <v>6</v>
      </c>
      <c r="AA39">
        <v>6</v>
      </c>
      <c r="AB39">
        <v>30</v>
      </c>
      <c r="AC39">
        <v>73328</v>
      </c>
    </row>
    <row r="40" spans="1:29" x14ac:dyDescent="0.35">
      <c r="A40" t="s">
        <v>125</v>
      </c>
      <c r="B40" t="s">
        <v>70</v>
      </c>
      <c r="C40" t="s">
        <v>51</v>
      </c>
      <c r="D40" s="4">
        <v>45625</v>
      </c>
      <c r="E40" s="4">
        <v>45661</v>
      </c>
      <c r="F40" s="5">
        <f t="shared" si="0"/>
        <v>36</v>
      </c>
      <c r="G40">
        <v>45584</v>
      </c>
      <c r="H40" t="s">
        <v>55</v>
      </c>
      <c r="I40">
        <v>189</v>
      </c>
      <c r="J40">
        <v>7</v>
      </c>
      <c r="K40">
        <v>1</v>
      </c>
      <c r="L40" s="6">
        <f t="shared" si="1"/>
        <v>5.2910052910052907E-3</v>
      </c>
      <c r="M40" t="s">
        <v>126</v>
      </c>
      <c r="N40">
        <v>1</v>
      </c>
      <c r="O40">
        <v>8358</v>
      </c>
      <c r="P40">
        <v>55</v>
      </c>
      <c r="R40">
        <v>83</v>
      </c>
      <c r="S40" s="3">
        <f t="shared" si="2"/>
        <v>28</v>
      </c>
      <c r="T40">
        <v>3</v>
      </c>
      <c r="U40">
        <v>94</v>
      </c>
      <c r="V40">
        <v>53</v>
      </c>
      <c r="W40" t="s">
        <v>38</v>
      </c>
      <c r="X40" t="s">
        <v>46</v>
      </c>
      <c r="Y40">
        <v>28</v>
      </c>
      <c r="Z40">
        <v>22</v>
      </c>
      <c r="AA40">
        <v>5</v>
      </c>
      <c r="AB40">
        <v>30</v>
      </c>
      <c r="AC40">
        <v>72529</v>
      </c>
    </row>
    <row r="41" spans="1:29" x14ac:dyDescent="0.35">
      <c r="A41" t="s">
        <v>127</v>
      </c>
      <c r="B41" t="s">
        <v>75</v>
      </c>
      <c r="C41" t="s">
        <v>51</v>
      </c>
      <c r="D41" s="4">
        <v>45527</v>
      </c>
      <c r="E41" s="4">
        <v>45560</v>
      </c>
      <c r="F41" s="5">
        <f t="shared" si="0"/>
        <v>33</v>
      </c>
      <c r="G41">
        <v>45685</v>
      </c>
      <c r="H41" t="s">
        <v>41</v>
      </c>
      <c r="I41">
        <v>146</v>
      </c>
      <c r="J41">
        <v>9</v>
      </c>
      <c r="K41">
        <v>6</v>
      </c>
      <c r="L41" s="6">
        <f t="shared" si="1"/>
        <v>4.1095890410958902E-2</v>
      </c>
      <c r="M41" t="s">
        <v>128</v>
      </c>
      <c r="N41">
        <v>74</v>
      </c>
      <c r="O41">
        <v>20865</v>
      </c>
      <c r="P41">
        <v>78</v>
      </c>
      <c r="R41">
        <v>100</v>
      </c>
      <c r="S41" s="3">
        <f t="shared" si="2"/>
        <v>22</v>
      </c>
      <c r="T41">
        <v>5</v>
      </c>
      <c r="U41">
        <v>95</v>
      </c>
      <c r="V41">
        <v>51</v>
      </c>
      <c r="W41" t="s">
        <v>38</v>
      </c>
      <c r="X41" t="s">
        <v>34</v>
      </c>
      <c r="Y41">
        <v>41</v>
      </c>
      <c r="Z41">
        <v>10</v>
      </c>
      <c r="AA41">
        <v>9</v>
      </c>
      <c r="AB41">
        <v>30</v>
      </c>
      <c r="AC41">
        <v>83872</v>
      </c>
    </row>
    <row r="42" spans="1:29" x14ac:dyDescent="0.35">
      <c r="A42" t="s">
        <v>129</v>
      </c>
      <c r="B42" t="s">
        <v>40</v>
      </c>
      <c r="C42" t="s">
        <v>48</v>
      </c>
      <c r="D42" s="4">
        <v>45711</v>
      </c>
      <c r="E42" s="4">
        <v>45760</v>
      </c>
      <c r="F42" s="5">
        <f t="shared" si="0"/>
        <v>49</v>
      </c>
      <c r="G42">
        <v>35330</v>
      </c>
      <c r="H42" t="s">
        <v>36</v>
      </c>
      <c r="I42">
        <v>194</v>
      </c>
      <c r="J42">
        <v>15</v>
      </c>
      <c r="K42">
        <v>7</v>
      </c>
      <c r="L42" s="6">
        <f t="shared" si="1"/>
        <v>3.608247422680412E-2</v>
      </c>
      <c r="M42" t="s">
        <v>130</v>
      </c>
      <c r="N42">
        <v>70</v>
      </c>
      <c r="O42">
        <v>11561</v>
      </c>
      <c r="P42">
        <v>48</v>
      </c>
      <c r="R42">
        <v>76</v>
      </c>
      <c r="S42" s="3">
        <f t="shared" si="2"/>
        <v>28</v>
      </c>
      <c r="T42">
        <v>5</v>
      </c>
      <c r="U42">
        <v>100</v>
      </c>
      <c r="V42">
        <v>57</v>
      </c>
      <c r="W42" t="s">
        <v>33</v>
      </c>
      <c r="X42" t="s">
        <v>46</v>
      </c>
      <c r="Y42">
        <v>52</v>
      </c>
      <c r="Z42">
        <v>5</v>
      </c>
      <c r="AA42">
        <v>1</v>
      </c>
      <c r="AB42">
        <v>30</v>
      </c>
      <c r="AC42">
        <v>91882</v>
      </c>
    </row>
    <row r="43" spans="1:29" x14ac:dyDescent="0.35">
      <c r="A43" t="s">
        <v>131</v>
      </c>
      <c r="B43" t="s">
        <v>29</v>
      </c>
      <c r="C43" t="s">
        <v>48</v>
      </c>
      <c r="D43" s="4">
        <v>45665</v>
      </c>
      <c r="E43" s="4">
        <v>45683</v>
      </c>
      <c r="F43" s="5">
        <f t="shared" si="0"/>
        <v>18</v>
      </c>
      <c r="G43">
        <v>45224</v>
      </c>
      <c r="H43" t="s">
        <v>36</v>
      </c>
      <c r="I43">
        <v>191</v>
      </c>
      <c r="J43">
        <v>13</v>
      </c>
      <c r="K43">
        <v>1</v>
      </c>
      <c r="L43" s="6">
        <f t="shared" si="1"/>
        <v>5.235602094240838E-3</v>
      </c>
      <c r="M43" t="s">
        <v>132</v>
      </c>
      <c r="N43">
        <v>21</v>
      </c>
      <c r="O43">
        <v>22354</v>
      </c>
      <c r="P43">
        <v>71</v>
      </c>
      <c r="R43">
        <v>76</v>
      </c>
      <c r="S43" s="3">
        <f t="shared" si="2"/>
        <v>5</v>
      </c>
      <c r="T43">
        <v>5</v>
      </c>
      <c r="U43">
        <v>75</v>
      </c>
      <c r="V43">
        <v>52</v>
      </c>
      <c r="W43" t="s">
        <v>38</v>
      </c>
      <c r="X43" t="s">
        <v>34</v>
      </c>
      <c r="Y43">
        <v>23</v>
      </c>
      <c r="Z43">
        <v>8</v>
      </c>
      <c r="AA43">
        <v>14</v>
      </c>
      <c r="AB43">
        <v>30</v>
      </c>
      <c r="AC43">
        <v>43044</v>
      </c>
    </row>
    <row r="44" spans="1:29" x14ac:dyDescent="0.35">
      <c r="A44" t="s">
        <v>133</v>
      </c>
      <c r="B44" t="s">
        <v>75</v>
      </c>
      <c r="C44" t="s">
        <v>54</v>
      </c>
      <c r="D44" s="4">
        <v>45560</v>
      </c>
      <c r="E44" s="4">
        <v>45620</v>
      </c>
      <c r="F44" s="5">
        <f t="shared" si="0"/>
        <v>60</v>
      </c>
      <c r="G44">
        <v>34596</v>
      </c>
      <c r="H44" t="s">
        <v>31</v>
      </c>
      <c r="I44">
        <v>195</v>
      </c>
      <c r="J44">
        <v>11</v>
      </c>
      <c r="K44">
        <v>10</v>
      </c>
      <c r="L44" s="6">
        <f t="shared" si="1"/>
        <v>5.128205128205128E-2</v>
      </c>
      <c r="M44" t="s">
        <v>134</v>
      </c>
      <c r="N44">
        <v>57</v>
      </c>
      <c r="O44">
        <v>14717</v>
      </c>
      <c r="P44">
        <v>74</v>
      </c>
      <c r="R44">
        <v>77</v>
      </c>
      <c r="S44" s="3">
        <f t="shared" si="2"/>
        <v>3</v>
      </c>
      <c r="T44">
        <v>2</v>
      </c>
      <c r="U44">
        <v>86</v>
      </c>
      <c r="V44">
        <v>57</v>
      </c>
      <c r="W44" t="s">
        <v>38</v>
      </c>
      <c r="X44" t="s">
        <v>46</v>
      </c>
      <c r="Y44">
        <v>29</v>
      </c>
      <c r="Z44">
        <v>16</v>
      </c>
      <c r="AA44">
        <v>6</v>
      </c>
      <c r="AB44">
        <v>30</v>
      </c>
      <c r="AC44">
        <v>74844</v>
      </c>
    </row>
    <row r="45" spans="1:29" x14ac:dyDescent="0.35">
      <c r="A45" t="s">
        <v>135</v>
      </c>
      <c r="B45" t="s">
        <v>80</v>
      </c>
      <c r="C45" t="s">
        <v>89</v>
      </c>
      <c r="D45" s="4">
        <v>45603</v>
      </c>
      <c r="E45" s="4">
        <v>45632</v>
      </c>
      <c r="F45" s="5">
        <f t="shared" si="0"/>
        <v>29</v>
      </c>
      <c r="G45">
        <v>44998</v>
      </c>
      <c r="H45" t="s">
        <v>41</v>
      </c>
      <c r="I45">
        <v>17</v>
      </c>
      <c r="J45">
        <v>9</v>
      </c>
      <c r="K45">
        <v>7</v>
      </c>
      <c r="L45" s="6">
        <f t="shared" si="1"/>
        <v>0.41176470588235292</v>
      </c>
      <c r="M45" t="s">
        <v>136</v>
      </c>
      <c r="N45">
        <v>58</v>
      </c>
      <c r="O45">
        <v>19842</v>
      </c>
      <c r="P45">
        <v>47</v>
      </c>
      <c r="R45">
        <v>63</v>
      </c>
      <c r="S45" s="3">
        <f t="shared" si="2"/>
        <v>16</v>
      </c>
      <c r="T45">
        <v>2</v>
      </c>
      <c r="U45">
        <v>91</v>
      </c>
      <c r="V45">
        <v>77</v>
      </c>
      <c r="W45" t="s">
        <v>38</v>
      </c>
      <c r="X45" t="s">
        <v>46</v>
      </c>
      <c r="Y45">
        <v>52</v>
      </c>
      <c r="Z45">
        <v>24</v>
      </c>
      <c r="AA45">
        <v>0</v>
      </c>
      <c r="AB45">
        <v>30</v>
      </c>
      <c r="AC45">
        <v>101952</v>
      </c>
    </row>
    <row r="46" spans="1:29" x14ac:dyDescent="0.35">
      <c r="A46" t="s">
        <v>137</v>
      </c>
      <c r="B46" t="s">
        <v>58</v>
      </c>
      <c r="C46" t="s">
        <v>30</v>
      </c>
      <c r="D46" s="4">
        <v>45729</v>
      </c>
      <c r="E46" s="4">
        <v>45758</v>
      </c>
      <c r="F46" s="5">
        <f t="shared" si="0"/>
        <v>29</v>
      </c>
      <c r="G46">
        <v>12177</v>
      </c>
      <c r="H46" t="s">
        <v>44</v>
      </c>
      <c r="I46">
        <v>102</v>
      </c>
      <c r="J46">
        <v>1</v>
      </c>
      <c r="K46">
        <v>1</v>
      </c>
      <c r="L46" s="6">
        <f t="shared" si="1"/>
        <v>9.8039215686274508E-3</v>
      </c>
      <c r="M46" t="s">
        <v>138</v>
      </c>
      <c r="N46">
        <v>35</v>
      </c>
      <c r="O46">
        <v>21254</v>
      </c>
      <c r="P46">
        <v>45</v>
      </c>
      <c r="R46">
        <v>55</v>
      </c>
      <c r="S46" s="3">
        <f t="shared" si="2"/>
        <v>10</v>
      </c>
      <c r="T46">
        <v>2</v>
      </c>
      <c r="U46">
        <v>82</v>
      </c>
      <c r="V46">
        <v>59</v>
      </c>
      <c r="W46" t="s">
        <v>38</v>
      </c>
      <c r="X46" t="s">
        <v>34</v>
      </c>
      <c r="Y46">
        <v>38</v>
      </c>
      <c r="Z46">
        <v>14</v>
      </c>
      <c r="AA46">
        <v>16</v>
      </c>
      <c r="AB46">
        <v>30</v>
      </c>
      <c r="AC46">
        <v>43128</v>
      </c>
    </row>
    <row r="47" spans="1:29" x14ac:dyDescent="0.35">
      <c r="A47" t="s">
        <v>139</v>
      </c>
      <c r="B47" t="s">
        <v>58</v>
      </c>
      <c r="C47" t="s">
        <v>30</v>
      </c>
      <c r="D47" s="4">
        <v>45787</v>
      </c>
      <c r="E47" s="4">
        <v>45799</v>
      </c>
      <c r="F47" s="5">
        <f t="shared" si="0"/>
        <v>12</v>
      </c>
      <c r="G47">
        <v>35000</v>
      </c>
      <c r="H47" t="s">
        <v>41</v>
      </c>
      <c r="I47">
        <v>130</v>
      </c>
      <c r="J47">
        <v>4</v>
      </c>
      <c r="K47">
        <v>3</v>
      </c>
      <c r="L47" s="6">
        <f t="shared" si="1"/>
        <v>2.3076923076923078E-2</v>
      </c>
      <c r="M47" t="s">
        <v>140</v>
      </c>
      <c r="N47">
        <v>26</v>
      </c>
      <c r="O47">
        <v>13933</v>
      </c>
      <c r="P47">
        <v>74</v>
      </c>
      <c r="R47">
        <v>92</v>
      </c>
      <c r="S47" s="3">
        <f t="shared" si="2"/>
        <v>18</v>
      </c>
      <c r="T47">
        <v>1</v>
      </c>
      <c r="U47">
        <v>96</v>
      </c>
      <c r="V47">
        <v>90</v>
      </c>
      <c r="W47" t="s">
        <v>38</v>
      </c>
      <c r="X47" t="s">
        <v>46</v>
      </c>
      <c r="Y47">
        <v>41</v>
      </c>
      <c r="Z47">
        <v>14</v>
      </c>
      <c r="AA47">
        <v>6</v>
      </c>
      <c r="AB47">
        <v>30</v>
      </c>
      <c r="AC47">
        <v>61804</v>
      </c>
    </row>
    <row r="48" spans="1:29" x14ac:dyDescent="0.35">
      <c r="A48" t="s">
        <v>141</v>
      </c>
      <c r="B48" t="s">
        <v>40</v>
      </c>
      <c r="C48" t="s">
        <v>30</v>
      </c>
      <c r="D48" s="4">
        <v>45561</v>
      </c>
      <c r="E48" s="4">
        <v>45615</v>
      </c>
      <c r="F48" s="5">
        <f t="shared" si="0"/>
        <v>54</v>
      </c>
      <c r="G48">
        <v>28421</v>
      </c>
      <c r="H48" t="s">
        <v>55</v>
      </c>
      <c r="I48">
        <v>198</v>
      </c>
      <c r="J48">
        <v>2</v>
      </c>
      <c r="K48">
        <v>2</v>
      </c>
      <c r="L48" s="6">
        <f t="shared" si="1"/>
        <v>1.0101010101010102E-2</v>
      </c>
      <c r="M48" t="s">
        <v>142</v>
      </c>
      <c r="N48">
        <v>61</v>
      </c>
      <c r="O48">
        <v>15639</v>
      </c>
      <c r="P48">
        <v>63</v>
      </c>
      <c r="R48">
        <v>72</v>
      </c>
      <c r="S48" s="3">
        <f t="shared" si="2"/>
        <v>9</v>
      </c>
      <c r="T48">
        <v>4</v>
      </c>
      <c r="U48">
        <v>77</v>
      </c>
      <c r="V48">
        <v>61</v>
      </c>
      <c r="W48" t="s">
        <v>38</v>
      </c>
      <c r="X48" t="s">
        <v>46</v>
      </c>
      <c r="Y48">
        <v>22</v>
      </c>
      <c r="Z48">
        <v>18</v>
      </c>
      <c r="AA48">
        <v>8</v>
      </c>
      <c r="AB48">
        <v>30</v>
      </c>
      <c r="AC48">
        <v>46354</v>
      </c>
    </row>
    <row r="49" spans="1:29" x14ac:dyDescent="0.35">
      <c r="A49" t="s">
        <v>143</v>
      </c>
      <c r="B49" t="s">
        <v>70</v>
      </c>
      <c r="C49" t="s">
        <v>30</v>
      </c>
      <c r="D49" s="4">
        <v>45470</v>
      </c>
      <c r="E49" s="4">
        <v>45526</v>
      </c>
      <c r="F49" s="5">
        <f t="shared" si="0"/>
        <v>56</v>
      </c>
      <c r="G49">
        <v>44815</v>
      </c>
      <c r="H49" t="s">
        <v>55</v>
      </c>
      <c r="I49">
        <v>39</v>
      </c>
      <c r="J49">
        <v>1</v>
      </c>
      <c r="K49">
        <v>1</v>
      </c>
      <c r="L49" s="6">
        <f t="shared" si="1"/>
        <v>2.564102564102564E-2</v>
      </c>
      <c r="M49" t="s">
        <v>144</v>
      </c>
      <c r="N49">
        <v>61</v>
      </c>
      <c r="O49">
        <v>2341</v>
      </c>
      <c r="P49">
        <v>54</v>
      </c>
      <c r="R49">
        <v>63</v>
      </c>
      <c r="S49" s="3">
        <f t="shared" si="2"/>
        <v>9</v>
      </c>
      <c r="T49">
        <v>1</v>
      </c>
      <c r="U49">
        <v>76</v>
      </c>
      <c r="V49">
        <v>57</v>
      </c>
      <c r="W49" t="s">
        <v>33</v>
      </c>
      <c r="X49" t="s">
        <v>34</v>
      </c>
      <c r="Y49">
        <v>53</v>
      </c>
      <c r="Z49">
        <v>16</v>
      </c>
      <c r="AA49">
        <v>12</v>
      </c>
      <c r="AB49">
        <v>30</v>
      </c>
      <c r="AC49">
        <v>94597</v>
      </c>
    </row>
    <row r="50" spans="1:29" x14ac:dyDescent="0.35">
      <c r="A50" t="s">
        <v>145</v>
      </c>
      <c r="B50" t="s">
        <v>29</v>
      </c>
      <c r="C50" t="s">
        <v>54</v>
      </c>
      <c r="D50" s="4">
        <v>45438</v>
      </c>
      <c r="E50" s="4">
        <v>45461</v>
      </c>
      <c r="F50" s="5">
        <f t="shared" si="0"/>
        <v>23</v>
      </c>
      <c r="G50">
        <v>41746</v>
      </c>
      <c r="H50" t="s">
        <v>41</v>
      </c>
      <c r="I50">
        <v>103</v>
      </c>
      <c r="J50">
        <v>16</v>
      </c>
      <c r="K50">
        <v>13</v>
      </c>
      <c r="L50" s="6">
        <f t="shared" si="1"/>
        <v>0.12621359223300971</v>
      </c>
      <c r="M50" t="s">
        <v>146</v>
      </c>
      <c r="N50">
        <v>19</v>
      </c>
      <c r="O50">
        <v>14514</v>
      </c>
      <c r="P50">
        <v>72</v>
      </c>
      <c r="R50">
        <v>72</v>
      </c>
      <c r="S50" s="3">
        <f t="shared" si="2"/>
        <v>0</v>
      </c>
      <c r="T50">
        <v>4</v>
      </c>
      <c r="U50">
        <v>100</v>
      </c>
      <c r="V50">
        <v>71</v>
      </c>
      <c r="W50" t="s">
        <v>38</v>
      </c>
      <c r="X50" t="s">
        <v>34</v>
      </c>
      <c r="Y50">
        <v>35</v>
      </c>
      <c r="Z50">
        <v>14</v>
      </c>
      <c r="AA50">
        <v>13</v>
      </c>
      <c r="AB50">
        <v>30</v>
      </c>
      <c r="AC50">
        <v>78399</v>
      </c>
    </row>
    <row r="51" spans="1:29" x14ac:dyDescent="0.35">
      <c r="A51" t="s">
        <v>147</v>
      </c>
      <c r="B51" t="s">
        <v>70</v>
      </c>
      <c r="C51" t="s">
        <v>54</v>
      </c>
      <c r="D51" s="4">
        <v>45500</v>
      </c>
      <c r="E51" s="4">
        <v>45547</v>
      </c>
      <c r="F51" s="5">
        <f t="shared" si="0"/>
        <v>47</v>
      </c>
      <c r="G51">
        <v>46521</v>
      </c>
      <c r="H51" t="s">
        <v>31</v>
      </c>
      <c r="I51">
        <v>22</v>
      </c>
      <c r="J51">
        <v>17</v>
      </c>
      <c r="K51">
        <v>5</v>
      </c>
      <c r="L51" s="6">
        <f t="shared" si="1"/>
        <v>0.22727272727272727</v>
      </c>
      <c r="M51" t="s">
        <v>148</v>
      </c>
      <c r="N51">
        <v>76</v>
      </c>
      <c r="O51">
        <v>29261</v>
      </c>
      <c r="P51">
        <v>51</v>
      </c>
      <c r="R51">
        <v>68</v>
      </c>
      <c r="S51" s="3">
        <f t="shared" si="2"/>
        <v>17</v>
      </c>
      <c r="T51">
        <v>5</v>
      </c>
      <c r="U51">
        <v>96</v>
      </c>
      <c r="V51">
        <v>63</v>
      </c>
      <c r="W51" t="s">
        <v>33</v>
      </c>
      <c r="X51" t="s">
        <v>46</v>
      </c>
      <c r="Y51">
        <v>57</v>
      </c>
      <c r="Z51">
        <v>13</v>
      </c>
      <c r="AA51">
        <v>7</v>
      </c>
      <c r="AB51">
        <v>30</v>
      </c>
      <c r="AC51">
        <v>55570</v>
      </c>
    </row>
    <row r="52" spans="1:29" x14ac:dyDescent="0.35">
      <c r="A52" t="s">
        <v>149</v>
      </c>
      <c r="B52" t="s">
        <v>75</v>
      </c>
      <c r="C52" t="s">
        <v>54</v>
      </c>
      <c r="D52" s="4">
        <v>45311</v>
      </c>
      <c r="E52" s="4">
        <v>45334</v>
      </c>
      <c r="F52" s="5">
        <f t="shared" si="0"/>
        <v>23</v>
      </c>
      <c r="G52">
        <v>23300</v>
      </c>
      <c r="H52" t="s">
        <v>55</v>
      </c>
      <c r="I52">
        <v>40</v>
      </c>
      <c r="J52">
        <v>9</v>
      </c>
      <c r="K52">
        <v>8</v>
      </c>
      <c r="L52" s="6">
        <f t="shared" si="1"/>
        <v>0.2</v>
      </c>
      <c r="M52" t="s">
        <v>150</v>
      </c>
      <c r="N52">
        <v>40</v>
      </c>
      <c r="O52">
        <v>25551</v>
      </c>
      <c r="P52">
        <v>41</v>
      </c>
      <c r="R52">
        <v>58</v>
      </c>
      <c r="S52" s="3">
        <f t="shared" si="2"/>
        <v>17</v>
      </c>
      <c r="T52">
        <v>1</v>
      </c>
      <c r="U52">
        <v>99</v>
      </c>
      <c r="V52">
        <v>80</v>
      </c>
      <c r="W52" t="s">
        <v>38</v>
      </c>
      <c r="X52" t="s">
        <v>34</v>
      </c>
      <c r="Y52">
        <v>29</v>
      </c>
      <c r="Z52">
        <v>10</v>
      </c>
      <c r="AA52">
        <v>11</v>
      </c>
      <c r="AB52">
        <v>30</v>
      </c>
      <c r="AC52">
        <v>117547</v>
      </c>
    </row>
    <row r="53" spans="1:29" x14ac:dyDescent="0.35">
      <c r="A53" t="s">
        <v>151</v>
      </c>
      <c r="B53" t="s">
        <v>70</v>
      </c>
      <c r="C53" t="s">
        <v>63</v>
      </c>
      <c r="D53" s="4">
        <v>45616</v>
      </c>
      <c r="E53" s="4">
        <v>45630</v>
      </c>
      <c r="F53" s="5">
        <f t="shared" si="0"/>
        <v>14</v>
      </c>
      <c r="G53">
        <v>30428</v>
      </c>
      <c r="H53" t="s">
        <v>55</v>
      </c>
      <c r="I53">
        <v>81</v>
      </c>
      <c r="J53">
        <v>5</v>
      </c>
      <c r="K53">
        <v>4</v>
      </c>
      <c r="L53" s="6">
        <f t="shared" si="1"/>
        <v>4.9382716049382713E-2</v>
      </c>
      <c r="M53" t="s">
        <v>152</v>
      </c>
      <c r="N53">
        <v>73</v>
      </c>
      <c r="O53">
        <v>28000</v>
      </c>
      <c r="P53">
        <v>43</v>
      </c>
      <c r="R53">
        <v>48</v>
      </c>
      <c r="S53" s="3">
        <f t="shared" si="2"/>
        <v>5</v>
      </c>
      <c r="T53">
        <v>2</v>
      </c>
      <c r="U53">
        <v>77</v>
      </c>
      <c r="V53">
        <v>76</v>
      </c>
      <c r="W53" t="s">
        <v>38</v>
      </c>
      <c r="X53" t="s">
        <v>46</v>
      </c>
      <c r="Y53">
        <v>60</v>
      </c>
      <c r="Z53">
        <v>13</v>
      </c>
      <c r="AA53">
        <v>16</v>
      </c>
      <c r="AB53">
        <v>30</v>
      </c>
      <c r="AC53">
        <v>30211</v>
      </c>
    </row>
    <row r="54" spans="1:29" x14ac:dyDescent="0.35">
      <c r="A54" t="s">
        <v>153</v>
      </c>
      <c r="B54" t="s">
        <v>40</v>
      </c>
      <c r="C54" t="s">
        <v>30</v>
      </c>
      <c r="D54" s="4">
        <v>45434</v>
      </c>
      <c r="E54" s="4">
        <v>45456</v>
      </c>
      <c r="F54" s="5">
        <f t="shared" si="0"/>
        <v>22</v>
      </c>
      <c r="G54">
        <v>26047</v>
      </c>
      <c r="H54" t="s">
        <v>44</v>
      </c>
      <c r="I54">
        <v>98</v>
      </c>
      <c r="J54">
        <v>12</v>
      </c>
      <c r="K54">
        <v>2</v>
      </c>
      <c r="L54" s="6">
        <f t="shared" si="1"/>
        <v>2.0408163265306121E-2</v>
      </c>
      <c r="M54" t="s">
        <v>154</v>
      </c>
      <c r="N54">
        <v>32</v>
      </c>
      <c r="O54">
        <v>19830</v>
      </c>
      <c r="P54">
        <v>64</v>
      </c>
      <c r="R54">
        <v>65</v>
      </c>
      <c r="S54" s="3">
        <f t="shared" si="2"/>
        <v>1</v>
      </c>
      <c r="T54">
        <v>2</v>
      </c>
      <c r="U54">
        <v>79</v>
      </c>
      <c r="V54">
        <v>52</v>
      </c>
      <c r="W54" t="s">
        <v>38</v>
      </c>
      <c r="X54" t="s">
        <v>34</v>
      </c>
      <c r="Y54">
        <v>45</v>
      </c>
      <c r="Z54">
        <v>1</v>
      </c>
      <c r="AA54">
        <v>16</v>
      </c>
      <c r="AB54">
        <v>30</v>
      </c>
      <c r="AC54">
        <v>66638</v>
      </c>
    </row>
    <row r="55" spans="1:29" x14ac:dyDescent="0.35">
      <c r="A55" t="s">
        <v>155</v>
      </c>
      <c r="B55" t="s">
        <v>29</v>
      </c>
      <c r="C55" t="s">
        <v>30</v>
      </c>
      <c r="D55" s="4">
        <v>45776</v>
      </c>
      <c r="E55" s="4">
        <v>45802</v>
      </c>
      <c r="F55" s="5">
        <f t="shared" si="0"/>
        <v>26</v>
      </c>
      <c r="G55">
        <v>10556</v>
      </c>
      <c r="H55" t="s">
        <v>36</v>
      </c>
      <c r="I55">
        <v>19</v>
      </c>
      <c r="J55">
        <v>15</v>
      </c>
      <c r="K55">
        <v>8</v>
      </c>
      <c r="L55" s="6">
        <f t="shared" si="1"/>
        <v>0.42105263157894735</v>
      </c>
      <c r="M55" t="s">
        <v>156</v>
      </c>
      <c r="N55">
        <v>29</v>
      </c>
      <c r="O55">
        <v>18099</v>
      </c>
      <c r="P55">
        <v>85</v>
      </c>
      <c r="R55">
        <v>100</v>
      </c>
      <c r="S55" s="3">
        <f t="shared" si="2"/>
        <v>15</v>
      </c>
      <c r="T55">
        <v>3</v>
      </c>
      <c r="U55">
        <v>79</v>
      </c>
      <c r="V55">
        <v>74</v>
      </c>
      <c r="W55" t="s">
        <v>38</v>
      </c>
      <c r="X55" t="s">
        <v>34</v>
      </c>
      <c r="Y55">
        <v>38</v>
      </c>
      <c r="Z55">
        <v>12</v>
      </c>
      <c r="AA55">
        <v>9</v>
      </c>
      <c r="AB55">
        <v>30</v>
      </c>
      <c r="AC55">
        <v>64948</v>
      </c>
    </row>
    <row r="56" spans="1:29" x14ac:dyDescent="0.35">
      <c r="A56" t="s">
        <v>157</v>
      </c>
      <c r="B56" t="s">
        <v>75</v>
      </c>
      <c r="C56" t="s">
        <v>89</v>
      </c>
      <c r="D56" s="4">
        <v>45613</v>
      </c>
      <c r="E56" s="4">
        <v>45622</v>
      </c>
      <c r="F56" s="5">
        <f t="shared" si="0"/>
        <v>9</v>
      </c>
      <c r="G56">
        <v>41472</v>
      </c>
      <c r="H56" t="s">
        <v>41</v>
      </c>
      <c r="I56">
        <v>13</v>
      </c>
      <c r="J56">
        <v>15</v>
      </c>
      <c r="K56">
        <v>3</v>
      </c>
      <c r="L56" s="6">
        <f t="shared" si="1"/>
        <v>0.23076923076923078</v>
      </c>
      <c r="M56" t="s">
        <v>158</v>
      </c>
      <c r="N56">
        <v>65</v>
      </c>
      <c r="O56">
        <v>11178</v>
      </c>
      <c r="P56">
        <v>60</v>
      </c>
      <c r="R56">
        <v>61</v>
      </c>
      <c r="S56" s="3">
        <f t="shared" si="2"/>
        <v>1</v>
      </c>
      <c r="T56">
        <v>5</v>
      </c>
      <c r="U56">
        <v>96</v>
      </c>
      <c r="V56">
        <v>100</v>
      </c>
      <c r="W56" t="s">
        <v>38</v>
      </c>
      <c r="X56" t="s">
        <v>34</v>
      </c>
      <c r="Y56">
        <v>55</v>
      </c>
      <c r="Z56">
        <v>11</v>
      </c>
      <c r="AA56">
        <v>10</v>
      </c>
      <c r="AB56">
        <v>30</v>
      </c>
      <c r="AC56">
        <v>79414</v>
      </c>
    </row>
    <row r="57" spans="1:29" x14ac:dyDescent="0.35">
      <c r="A57" t="s">
        <v>159</v>
      </c>
      <c r="B57" t="s">
        <v>70</v>
      </c>
      <c r="C57" t="s">
        <v>54</v>
      </c>
      <c r="D57" s="4">
        <v>45528</v>
      </c>
      <c r="E57" s="4">
        <v>45551</v>
      </c>
      <c r="F57" s="5">
        <f t="shared" si="0"/>
        <v>23</v>
      </c>
      <c r="G57">
        <v>16854</v>
      </c>
      <c r="H57" t="s">
        <v>44</v>
      </c>
      <c r="I57">
        <v>198</v>
      </c>
      <c r="J57">
        <v>1</v>
      </c>
      <c r="K57">
        <v>1</v>
      </c>
      <c r="L57" s="6">
        <f t="shared" si="1"/>
        <v>5.0505050505050509E-3</v>
      </c>
      <c r="M57" t="s">
        <v>160</v>
      </c>
      <c r="N57">
        <v>44</v>
      </c>
      <c r="O57">
        <v>2524</v>
      </c>
      <c r="P57">
        <v>72</v>
      </c>
      <c r="R57">
        <v>80</v>
      </c>
      <c r="S57" s="3">
        <f t="shared" si="2"/>
        <v>8</v>
      </c>
      <c r="T57">
        <v>5</v>
      </c>
      <c r="U57">
        <v>100</v>
      </c>
      <c r="V57">
        <v>73</v>
      </c>
      <c r="W57" t="s">
        <v>38</v>
      </c>
      <c r="X57" t="s">
        <v>46</v>
      </c>
      <c r="Y57">
        <v>46</v>
      </c>
      <c r="Z57">
        <v>3</v>
      </c>
      <c r="AA57">
        <v>16</v>
      </c>
      <c r="AB57">
        <v>30</v>
      </c>
      <c r="AC57">
        <v>50814</v>
      </c>
    </row>
    <row r="58" spans="1:29" x14ac:dyDescent="0.35">
      <c r="A58" t="s">
        <v>161</v>
      </c>
      <c r="B58" t="s">
        <v>58</v>
      </c>
      <c r="C58" t="s">
        <v>63</v>
      </c>
      <c r="D58" s="4">
        <v>45384</v>
      </c>
      <c r="E58" s="4">
        <v>45423</v>
      </c>
      <c r="F58" s="5">
        <f t="shared" si="0"/>
        <v>39</v>
      </c>
      <c r="G58">
        <v>35560</v>
      </c>
      <c r="H58" t="s">
        <v>55</v>
      </c>
      <c r="I58">
        <v>181</v>
      </c>
      <c r="J58">
        <v>4</v>
      </c>
      <c r="K58">
        <v>1</v>
      </c>
      <c r="L58" s="6">
        <f t="shared" si="1"/>
        <v>5.5248618784530384E-3</v>
      </c>
      <c r="M58" t="s">
        <v>162</v>
      </c>
      <c r="N58">
        <v>44</v>
      </c>
      <c r="O58">
        <v>7828</v>
      </c>
      <c r="P58">
        <v>78</v>
      </c>
      <c r="R58">
        <v>85</v>
      </c>
      <c r="S58" s="3">
        <f t="shared" si="2"/>
        <v>7</v>
      </c>
      <c r="T58">
        <v>4</v>
      </c>
      <c r="U58">
        <v>92</v>
      </c>
      <c r="V58">
        <v>74</v>
      </c>
      <c r="W58" t="s">
        <v>38</v>
      </c>
      <c r="X58" t="s">
        <v>34</v>
      </c>
      <c r="Y58">
        <v>45</v>
      </c>
      <c r="Z58">
        <v>4</v>
      </c>
      <c r="AA58">
        <v>6</v>
      </c>
      <c r="AB58">
        <v>30</v>
      </c>
      <c r="AC58">
        <v>60753</v>
      </c>
    </row>
    <row r="59" spans="1:29" x14ac:dyDescent="0.35">
      <c r="A59" t="s">
        <v>163</v>
      </c>
      <c r="B59" t="s">
        <v>58</v>
      </c>
      <c r="C59" t="s">
        <v>30</v>
      </c>
      <c r="D59" s="4">
        <v>45376</v>
      </c>
      <c r="E59" s="4">
        <v>45391</v>
      </c>
      <c r="F59" s="5">
        <f t="shared" si="0"/>
        <v>15</v>
      </c>
      <c r="G59">
        <v>41791</v>
      </c>
      <c r="H59" t="s">
        <v>55</v>
      </c>
      <c r="I59">
        <v>17</v>
      </c>
      <c r="J59">
        <v>12</v>
      </c>
      <c r="K59">
        <v>10</v>
      </c>
      <c r="L59" s="6">
        <f t="shared" si="1"/>
        <v>0.58823529411764708</v>
      </c>
      <c r="M59" t="s">
        <v>164</v>
      </c>
      <c r="N59">
        <v>4</v>
      </c>
      <c r="O59">
        <v>16383</v>
      </c>
      <c r="P59">
        <v>46</v>
      </c>
      <c r="R59">
        <v>51</v>
      </c>
      <c r="S59" s="3">
        <f t="shared" si="2"/>
        <v>5</v>
      </c>
      <c r="T59">
        <v>2</v>
      </c>
      <c r="U59">
        <v>90</v>
      </c>
      <c r="V59">
        <v>86</v>
      </c>
      <c r="W59" t="s">
        <v>38</v>
      </c>
      <c r="X59" t="s">
        <v>34</v>
      </c>
      <c r="Y59">
        <v>51</v>
      </c>
      <c r="Z59">
        <v>12</v>
      </c>
      <c r="AA59">
        <v>16</v>
      </c>
      <c r="AB59">
        <v>30</v>
      </c>
      <c r="AC59">
        <v>114366</v>
      </c>
    </row>
    <row r="60" spans="1:29" x14ac:dyDescent="0.35">
      <c r="A60" t="s">
        <v>165</v>
      </c>
      <c r="B60" t="s">
        <v>80</v>
      </c>
      <c r="C60" t="s">
        <v>48</v>
      </c>
      <c r="D60" s="4">
        <v>45395</v>
      </c>
      <c r="E60" s="4">
        <v>45452</v>
      </c>
      <c r="F60" s="5">
        <f t="shared" si="0"/>
        <v>57</v>
      </c>
      <c r="G60">
        <v>5144</v>
      </c>
      <c r="H60" t="s">
        <v>31</v>
      </c>
      <c r="I60">
        <v>94</v>
      </c>
      <c r="J60">
        <v>10</v>
      </c>
      <c r="K60">
        <v>8</v>
      </c>
      <c r="L60" s="6">
        <f t="shared" si="1"/>
        <v>8.5106382978723402E-2</v>
      </c>
      <c r="M60" t="s">
        <v>166</v>
      </c>
      <c r="N60">
        <v>49</v>
      </c>
      <c r="O60">
        <v>17908</v>
      </c>
      <c r="P60">
        <v>82</v>
      </c>
      <c r="R60">
        <v>95</v>
      </c>
      <c r="S60" s="3">
        <f t="shared" si="2"/>
        <v>13</v>
      </c>
      <c r="T60">
        <v>5</v>
      </c>
      <c r="U60">
        <v>94</v>
      </c>
      <c r="V60">
        <v>90</v>
      </c>
      <c r="W60" t="s">
        <v>38</v>
      </c>
      <c r="X60" t="s">
        <v>34</v>
      </c>
      <c r="Y60">
        <v>24</v>
      </c>
      <c r="Z60">
        <v>12</v>
      </c>
      <c r="AA60">
        <v>20</v>
      </c>
      <c r="AB60">
        <v>30</v>
      </c>
      <c r="AC60">
        <v>115946</v>
      </c>
    </row>
    <row r="61" spans="1:29" x14ac:dyDescent="0.35">
      <c r="A61" t="s">
        <v>167</v>
      </c>
      <c r="B61" t="s">
        <v>75</v>
      </c>
      <c r="C61" t="s">
        <v>54</v>
      </c>
      <c r="D61" s="4">
        <v>45744</v>
      </c>
      <c r="E61" s="4">
        <v>45802</v>
      </c>
      <c r="F61" s="5">
        <f t="shared" si="0"/>
        <v>58</v>
      </c>
      <c r="G61">
        <v>16167</v>
      </c>
      <c r="H61" t="s">
        <v>55</v>
      </c>
      <c r="I61">
        <v>148</v>
      </c>
      <c r="J61">
        <v>11</v>
      </c>
      <c r="K61">
        <v>4</v>
      </c>
      <c r="L61" s="6">
        <f t="shared" si="1"/>
        <v>2.7027027027027029E-2</v>
      </c>
      <c r="M61" t="s">
        <v>168</v>
      </c>
      <c r="N61">
        <v>48</v>
      </c>
      <c r="O61">
        <v>13663</v>
      </c>
      <c r="P61">
        <v>54</v>
      </c>
      <c r="R61">
        <v>78</v>
      </c>
      <c r="S61" s="3">
        <f t="shared" si="2"/>
        <v>24</v>
      </c>
      <c r="T61">
        <v>4</v>
      </c>
      <c r="U61">
        <v>83</v>
      </c>
      <c r="V61">
        <v>52</v>
      </c>
      <c r="W61" t="s">
        <v>38</v>
      </c>
      <c r="X61" t="s">
        <v>34</v>
      </c>
      <c r="Y61">
        <v>50</v>
      </c>
      <c r="Z61">
        <v>24</v>
      </c>
      <c r="AA61">
        <v>17</v>
      </c>
      <c r="AB61">
        <v>30</v>
      </c>
      <c r="AC61">
        <v>28533</v>
      </c>
    </row>
    <row r="62" spans="1:29" x14ac:dyDescent="0.35">
      <c r="A62" t="s">
        <v>169</v>
      </c>
      <c r="B62" t="s">
        <v>40</v>
      </c>
      <c r="C62" t="s">
        <v>30</v>
      </c>
      <c r="D62" s="4">
        <v>45637</v>
      </c>
      <c r="E62" s="4">
        <v>45683</v>
      </c>
      <c r="F62" s="5">
        <f t="shared" si="0"/>
        <v>46</v>
      </c>
      <c r="G62">
        <v>22510</v>
      </c>
      <c r="H62" t="s">
        <v>44</v>
      </c>
      <c r="I62">
        <v>129</v>
      </c>
      <c r="J62">
        <v>1</v>
      </c>
      <c r="K62">
        <v>1</v>
      </c>
      <c r="L62" s="6">
        <f t="shared" si="1"/>
        <v>7.7519379844961239E-3</v>
      </c>
      <c r="M62" t="s">
        <v>170</v>
      </c>
      <c r="N62">
        <v>63</v>
      </c>
      <c r="O62">
        <v>5851</v>
      </c>
      <c r="P62">
        <v>61</v>
      </c>
      <c r="R62">
        <v>75</v>
      </c>
      <c r="S62" s="3">
        <f t="shared" si="2"/>
        <v>14</v>
      </c>
      <c r="T62">
        <v>5</v>
      </c>
      <c r="U62">
        <v>90</v>
      </c>
      <c r="V62">
        <v>76</v>
      </c>
      <c r="W62" t="s">
        <v>38</v>
      </c>
      <c r="X62" t="s">
        <v>46</v>
      </c>
      <c r="Y62">
        <v>45</v>
      </c>
      <c r="Z62">
        <v>22</v>
      </c>
      <c r="AA62">
        <v>17</v>
      </c>
      <c r="AB62">
        <v>30</v>
      </c>
      <c r="AC62">
        <v>83082</v>
      </c>
    </row>
    <row r="63" spans="1:29" x14ac:dyDescent="0.35">
      <c r="A63" t="s">
        <v>171</v>
      </c>
      <c r="B63" t="s">
        <v>70</v>
      </c>
      <c r="C63" t="s">
        <v>48</v>
      </c>
      <c r="D63" s="4">
        <v>45745</v>
      </c>
      <c r="E63" s="4">
        <v>45787</v>
      </c>
      <c r="F63" s="5">
        <f t="shared" si="0"/>
        <v>42</v>
      </c>
      <c r="G63">
        <v>16499</v>
      </c>
      <c r="H63" t="s">
        <v>44</v>
      </c>
      <c r="I63">
        <v>129</v>
      </c>
      <c r="J63">
        <v>10</v>
      </c>
      <c r="K63">
        <v>4</v>
      </c>
      <c r="L63" s="6">
        <f t="shared" si="1"/>
        <v>3.1007751937984496E-2</v>
      </c>
      <c r="M63" t="s">
        <v>172</v>
      </c>
      <c r="N63">
        <v>17</v>
      </c>
      <c r="O63">
        <v>29661</v>
      </c>
      <c r="P63">
        <v>69</v>
      </c>
      <c r="R63">
        <v>83</v>
      </c>
      <c r="S63" s="3">
        <f t="shared" si="2"/>
        <v>14</v>
      </c>
      <c r="T63">
        <v>1</v>
      </c>
      <c r="U63">
        <v>92</v>
      </c>
      <c r="V63">
        <v>76</v>
      </c>
      <c r="W63" t="s">
        <v>38</v>
      </c>
      <c r="X63" t="s">
        <v>46</v>
      </c>
      <c r="Y63">
        <v>57</v>
      </c>
      <c r="Z63">
        <v>20</v>
      </c>
      <c r="AA63">
        <v>1</v>
      </c>
      <c r="AB63">
        <v>30</v>
      </c>
      <c r="AC63">
        <v>97999</v>
      </c>
    </row>
    <row r="64" spans="1:29" x14ac:dyDescent="0.35">
      <c r="A64" t="s">
        <v>173</v>
      </c>
      <c r="B64" t="s">
        <v>58</v>
      </c>
      <c r="C64" t="s">
        <v>30</v>
      </c>
      <c r="D64" s="4">
        <v>45739</v>
      </c>
      <c r="E64" s="4">
        <v>45764</v>
      </c>
      <c r="F64" s="5">
        <f t="shared" si="0"/>
        <v>25</v>
      </c>
      <c r="G64">
        <v>9928</v>
      </c>
      <c r="H64" t="s">
        <v>55</v>
      </c>
      <c r="I64">
        <v>111</v>
      </c>
      <c r="J64">
        <v>17</v>
      </c>
      <c r="K64">
        <v>17</v>
      </c>
      <c r="L64" s="6">
        <f t="shared" si="1"/>
        <v>0.15315315315315314</v>
      </c>
      <c r="M64" t="s">
        <v>174</v>
      </c>
      <c r="N64">
        <v>53</v>
      </c>
      <c r="O64">
        <v>25950</v>
      </c>
      <c r="P64">
        <v>84</v>
      </c>
      <c r="R64">
        <v>91</v>
      </c>
      <c r="S64" s="3">
        <f t="shared" si="2"/>
        <v>7</v>
      </c>
      <c r="T64">
        <v>5</v>
      </c>
      <c r="U64">
        <v>75</v>
      </c>
      <c r="V64">
        <v>89</v>
      </c>
      <c r="W64" t="s">
        <v>33</v>
      </c>
      <c r="X64" t="s">
        <v>34</v>
      </c>
      <c r="Y64">
        <v>34</v>
      </c>
      <c r="Z64">
        <v>12</v>
      </c>
      <c r="AA64">
        <v>22</v>
      </c>
      <c r="AB64">
        <v>30</v>
      </c>
      <c r="AC64">
        <v>105030</v>
      </c>
    </row>
    <row r="65" spans="1:29" x14ac:dyDescent="0.35">
      <c r="A65" t="s">
        <v>175</v>
      </c>
      <c r="B65" t="s">
        <v>29</v>
      </c>
      <c r="C65" t="s">
        <v>51</v>
      </c>
      <c r="D65" s="4">
        <v>45785</v>
      </c>
      <c r="E65" s="4">
        <v>45824</v>
      </c>
      <c r="F65" s="5">
        <f t="shared" si="0"/>
        <v>39</v>
      </c>
      <c r="G65">
        <v>21732</v>
      </c>
      <c r="H65" t="s">
        <v>31</v>
      </c>
      <c r="I65">
        <v>145</v>
      </c>
      <c r="J65">
        <v>11</v>
      </c>
      <c r="K65">
        <v>2</v>
      </c>
      <c r="L65" s="6">
        <f t="shared" si="1"/>
        <v>1.3793103448275862E-2</v>
      </c>
      <c r="M65" t="s">
        <v>176</v>
      </c>
      <c r="N65">
        <v>77</v>
      </c>
      <c r="O65">
        <v>17583</v>
      </c>
      <c r="P65">
        <v>82</v>
      </c>
      <c r="R65">
        <v>97</v>
      </c>
      <c r="S65" s="3">
        <f t="shared" si="2"/>
        <v>15</v>
      </c>
      <c r="T65">
        <v>4</v>
      </c>
      <c r="U65">
        <v>80</v>
      </c>
      <c r="V65">
        <v>90</v>
      </c>
      <c r="W65" t="s">
        <v>38</v>
      </c>
      <c r="X65" t="s">
        <v>34</v>
      </c>
      <c r="Y65">
        <v>32</v>
      </c>
      <c r="Z65">
        <v>6</v>
      </c>
      <c r="AA65">
        <v>15</v>
      </c>
      <c r="AB65">
        <v>30</v>
      </c>
      <c r="AC65">
        <v>65515</v>
      </c>
    </row>
    <row r="66" spans="1:29" x14ac:dyDescent="0.35">
      <c r="A66" t="s">
        <v>177</v>
      </c>
      <c r="B66" t="s">
        <v>80</v>
      </c>
      <c r="C66" t="s">
        <v>63</v>
      </c>
      <c r="D66" s="4">
        <v>45484</v>
      </c>
      <c r="E66" s="4">
        <v>45519</v>
      </c>
      <c r="F66" s="5">
        <f t="shared" si="0"/>
        <v>35</v>
      </c>
      <c r="G66">
        <v>48552</v>
      </c>
      <c r="H66" t="s">
        <v>36</v>
      </c>
      <c r="I66">
        <v>159</v>
      </c>
      <c r="J66">
        <v>11</v>
      </c>
      <c r="K66">
        <v>1</v>
      </c>
      <c r="L66" s="6">
        <f t="shared" si="1"/>
        <v>6.2893081761006293E-3</v>
      </c>
      <c r="M66" t="s">
        <v>178</v>
      </c>
      <c r="N66">
        <v>4</v>
      </c>
      <c r="O66">
        <v>27191</v>
      </c>
      <c r="P66">
        <v>82</v>
      </c>
      <c r="R66">
        <v>100</v>
      </c>
      <c r="S66" s="3">
        <f t="shared" si="2"/>
        <v>18</v>
      </c>
      <c r="T66">
        <v>5</v>
      </c>
      <c r="U66">
        <v>77</v>
      </c>
      <c r="V66">
        <v>58</v>
      </c>
      <c r="W66" t="s">
        <v>38</v>
      </c>
      <c r="X66" t="s">
        <v>34</v>
      </c>
      <c r="Y66">
        <v>41</v>
      </c>
      <c r="Z66">
        <v>23</v>
      </c>
      <c r="AA66">
        <v>4</v>
      </c>
      <c r="AB66">
        <v>30</v>
      </c>
      <c r="AC66">
        <v>55291</v>
      </c>
    </row>
    <row r="67" spans="1:29" x14ac:dyDescent="0.35">
      <c r="A67" t="s">
        <v>179</v>
      </c>
      <c r="B67" t="s">
        <v>70</v>
      </c>
      <c r="C67" t="s">
        <v>51</v>
      </c>
      <c r="D67" s="4">
        <v>45481</v>
      </c>
      <c r="E67" s="4">
        <v>45519</v>
      </c>
      <c r="F67" s="5">
        <f t="shared" ref="F67:F130" si="3">E67-D67</f>
        <v>38</v>
      </c>
      <c r="G67">
        <v>7208</v>
      </c>
      <c r="H67" t="s">
        <v>44</v>
      </c>
      <c r="I67">
        <v>134</v>
      </c>
      <c r="J67">
        <v>4</v>
      </c>
      <c r="K67">
        <v>2</v>
      </c>
      <c r="L67" s="6">
        <f t="shared" ref="L67:L130" si="4">K67/I67</f>
        <v>1.4925373134328358E-2</v>
      </c>
      <c r="M67" t="s">
        <v>180</v>
      </c>
      <c r="N67">
        <v>24</v>
      </c>
      <c r="O67">
        <v>19153</v>
      </c>
      <c r="P67">
        <v>54</v>
      </c>
      <c r="R67">
        <v>82</v>
      </c>
      <c r="S67" s="3">
        <f t="shared" ref="S67:S130" si="5">R67-P67</f>
        <v>28</v>
      </c>
      <c r="T67">
        <v>4</v>
      </c>
      <c r="U67">
        <v>77</v>
      </c>
      <c r="V67">
        <v>51</v>
      </c>
      <c r="W67" t="s">
        <v>38</v>
      </c>
      <c r="X67" t="s">
        <v>34</v>
      </c>
      <c r="Y67">
        <v>33</v>
      </c>
      <c r="Z67">
        <v>5</v>
      </c>
      <c r="AA67">
        <v>25</v>
      </c>
      <c r="AB67">
        <v>30</v>
      </c>
      <c r="AC67">
        <v>37678</v>
      </c>
    </row>
    <row r="68" spans="1:29" x14ac:dyDescent="0.35">
      <c r="A68" t="s">
        <v>181</v>
      </c>
      <c r="B68" t="s">
        <v>58</v>
      </c>
      <c r="C68" t="s">
        <v>54</v>
      </c>
      <c r="D68" s="4">
        <v>45583</v>
      </c>
      <c r="E68" s="4">
        <v>45633</v>
      </c>
      <c r="F68" s="5">
        <f t="shared" si="3"/>
        <v>50</v>
      </c>
      <c r="G68">
        <v>14523</v>
      </c>
      <c r="H68" t="s">
        <v>41</v>
      </c>
      <c r="I68">
        <v>187</v>
      </c>
      <c r="J68">
        <v>20</v>
      </c>
      <c r="K68">
        <v>7</v>
      </c>
      <c r="L68" s="6">
        <f t="shared" si="4"/>
        <v>3.7433155080213901E-2</v>
      </c>
      <c r="M68" t="s">
        <v>182</v>
      </c>
      <c r="N68">
        <v>19</v>
      </c>
      <c r="O68">
        <v>5747</v>
      </c>
      <c r="P68">
        <v>66</v>
      </c>
      <c r="R68">
        <v>87</v>
      </c>
      <c r="S68" s="3">
        <f t="shared" si="5"/>
        <v>21</v>
      </c>
      <c r="T68">
        <v>5</v>
      </c>
      <c r="U68">
        <v>95</v>
      </c>
      <c r="V68">
        <v>93</v>
      </c>
      <c r="W68" t="s">
        <v>38</v>
      </c>
      <c r="X68" t="s">
        <v>34</v>
      </c>
      <c r="Y68">
        <v>48</v>
      </c>
      <c r="Z68">
        <v>0</v>
      </c>
      <c r="AA68">
        <v>18</v>
      </c>
      <c r="AB68">
        <v>30</v>
      </c>
      <c r="AC68">
        <v>94983</v>
      </c>
    </row>
    <row r="69" spans="1:29" x14ac:dyDescent="0.35">
      <c r="A69" t="s">
        <v>183</v>
      </c>
      <c r="B69" t="s">
        <v>29</v>
      </c>
      <c r="C69" t="s">
        <v>63</v>
      </c>
      <c r="D69" s="4">
        <v>45692</v>
      </c>
      <c r="E69" s="4">
        <v>45747</v>
      </c>
      <c r="F69" s="5">
        <f t="shared" si="3"/>
        <v>55</v>
      </c>
      <c r="G69">
        <v>5310</v>
      </c>
      <c r="H69" t="s">
        <v>44</v>
      </c>
      <c r="I69">
        <v>70</v>
      </c>
      <c r="J69">
        <v>8</v>
      </c>
      <c r="K69">
        <v>4</v>
      </c>
      <c r="L69" s="6">
        <f t="shared" si="4"/>
        <v>5.7142857142857141E-2</v>
      </c>
      <c r="M69" t="s">
        <v>184</v>
      </c>
      <c r="N69">
        <v>73</v>
      </c>
      <c r="O69">
        <v>21597</v>
      </c>
      <c r="P69">
        <v>70</v>
      </c>
      <c r="R69">
        <v>100</v>
      </c>
      <c r="S69" s="3">
        <f t="shared" si="5"/>
        <v>30</v>
      </c>
      <c r="T69">
        <v>5</v>
      </c>
      <c r="U69">
        <v>81</v>
      </c>
      <c r="V69">
        <v>57</v>
      </c>
      <c r="W69" t="s">
        <v>38</v>
      </c>
      <c r="X69" t="s">
        <v>46</v>
      </c>
      <c r="Y69">
        <v>58</v>
      </c>
      <c r="Z69">
        <v>10</v>
      </c>
      <c r="AA69">
        <v>5</v>
      </c>
      <c r="AB69">
        <v>30</v>
      </c>
      <c r="AC69">
        <v>108381</v>
      </c>
    </row>
    <row r="70" spans="1:29" x14ac:dyDescent="0.35">
      <c r="A70" t="s">
        <v>185</v>
      </c>
      <c r="B70" t="s">
        <v>40</v>
      </c>
      <c r="C70" t="s">
        <v>63</v>
      </c>
      <c r="D70" s="4">
        <v>45642</v>
      </c>
      <c r="E70" s="4">
        <v>45651</v>
      </c>
      <c r="F70" s="5">
        <f t="shared" si="3"/>
        <v>9</v>
      </c>
      <c r="G70">
        <v>16698</v>
      </c>
      <c r="H70" t="s">
        <v>55</v>
      </c>
      <c r="I70">
        <v>108</v>
      </c>
      <c r="J70">
        <v>16</v>
      </c>
      <c r="K70">
        <v>11</v>
      </c>
      <c r="L70" s="6">
        <f t="shared" si="4"/>
        <v>0.10185185185185185</v>
      </c>
      <c r="M70" t="s">
        <v>186</v>
      </c>
      <c r="N70">
        <v>20</v>
      </c>
      <c r="O70">
        <v>1055</v>
      </c>
      <c r="P70">
        <v>75</v>
      </c>
      <c r="R70">
        <v>85</v>
      </c>
      <c r="S70" s="3">
        <f t="shared" si="5"/>
        <v>10</v>
      </c>
      <c r="T70">
        <v>3</v>
      </c>
      <c r="U70">
        <v>91</v>
      </c>
      <c r="V70">
        <v>95</v>
      </c>
      <c r="W70" t="s">
        <v>33</v>
      </c>
      <c r="X70" t="s">
        <v>34</v>
      </c>
      <c r="Y70">
        <v>25</v>
      </c>
      <c r="Z70">
        <v>9</v>
      </c>
      <c r="AA70">
        <v>17</v>
      </c>
      <c r="AB70">
        <v>30</v>
      </c>
      <c r="AC70">
        <v>114582</v>
      </c>
    </row>
    <row r="71" spans="1:29" x14ac:dyDescent="0.35">
      <c r="A71" t="s">
        <v>187</v>
      </c>
      <c r="B71" t="s">
        <v>29</v>
      </c>
      <c r="C71" t="s">
        <v>30</v>
      </c>
      <c r="D71" s="4">
        <v>45680</v>
      </c>
      <c r="E71" s="4">
        <v>45725</v>
      </c>
      <c r="F71" s="5">
        <f t="shared" si="3"/>
        <v>45</v>
      </c>
      <c r="G71">
        <v>11939</v>
      </c>
      <c r="H71" t="s">
        <v>36</v>
      </c>
      <c r="I71">
        <v>28</v>
      </c>
      <c r="J71">
        <v>5</v>
      </c>
      <c r="K71">
        <v>5</v>
      </c>
      <c r="L71" s="6">
        <f t="shared" si="4"/>
        <v>0.17857142857142858</v>
      </c>
      <c r="M71" t="s">
        <v>188</v>
      </c>
      <c r="N71">
        <v>53</v>
      </c>
      <c r="O71">
        <v>1580</v>
      </c>
      <c r="P71">
        <v>57</v>
      </c>
      <c r="R71">
        <v>83</v>
      </c>
      <c r="S71" s="3">
        <f t="shared" si="5"/>
        <v>26</v>
      </c>
      <c r="T71">
        <v>1</v>
      </c>
      <c r="U71">
        <v>77</v>
      </c>
      <c r="V71">
        <v>51</v>
      </c>
      <c r="W71" t="s">
        <v>38</v>
      </c>
      <c r="X71" t="s">
        <v>34</v>
      </c>
      <c r="Y71">
        <v>39</v>
      </c>
      <c r="Z71">
        <v>23</v>
      </c>
      <c r="AA71">
        <v>13</v>
      </c>
      <c r="AB71">
        <v>30</v>
      </c>
      <c r="AC71">
        <v>96675</v>
      </c>
    </row>
    <row r="72" spans="1:29" x14ac:dyDescent="0.35">
      <c r="A72" t="s">
        <v>189</v>
      </c>
      <c r="B72" t="s">
        <v>75</v>
      </c>
      <c r="C72" t="s">
        <v>48</v>
      </c>
      <c r="D72" s="4">
        <v>45702</v>
      </c>
      <c r="E72" s="4">
        <v>45724</v>
      </c>
      <c r="F72" s="5">
        <f t="shared" si="3"/>
        <v>22</v>
      </c>
      <c r="G72">
        <v>21914</v>
      </c>
      <c r="H72" t="s">
        <v>31</v>
      </c>
      <c r="I72">
        <v>55</v>
      </c>
      <c r="J72">
        <v>8</v>
      </c>
      <c r="K72">
        <v>2</v>
      </c>
      <c r="L72" s="6">
        <f t="shared" si="4"/>
        <v>3.6363636363636362E-2</v>
      </c>
      <c r="M72" t="s">
        <v>190</v>
      </c>
      <c r="N72">
        <v>6</v>
      </c>
      <c r="O72">
        <v>8871</v>
      </c>
      <c r="P72">
        <v>84</v>
      </c>
      <c r="R72">
        <v>90</v>
      </c>
      <c r="S72" s="3">
        <f t="shared" si="5"/>
        <v>6</v>
      </c>
      <c r="T72">
        <v>2</v>
      </c>
      <c r="U72">
        <v>99</v>
      </c>
      <c r="V72">
        <v>92</v>
      </c>
      <c r="W72" t="s">
        <v>38</v>
      </c>
      <c r="X72" t="s">
        <v>46</v>
      </c>
      <c r="Y72">
        <v>59</v>
      </c>
      <c r="Z72">
        <v>6</v>
      </c>
      <c r="AA72">
        <v>7</v>
      </c>
      <c r="AB72">
        <v>30</v>
      </c>
      <c r="AC72">
        <v>72405</v>
      </c>
    </row>
    <row r="73" spans="1:29" x14ac:dyDescent="0.35">
      <c r="A73" t="s">
        <v>191</v>
      </c>
      <c r="B73" t="s">
        <v>80</v>
      </c>
      <c r="C73" t="s">
        <v>89</v>
      </c>
      <c r="D73" s="4">
        <v>45764</v>
      </c>
      <c r="E73" s="4">
        <v>45782</v>
      </c>
      <c r="F73" s="5">
        <f t="shared" si="3"/>
        <v>18</v>
      </c>
      <c r="G73">
        <v>39414</v>
      </c>
      <c r="H73" t="s">
        <v>44</v>
      </c>
      <c r="I73">
        <v>61</v>
      </c>
      <c r="J73">
        <v>19</v>
      </c>
      <c r="K73">
        <v>16</v>
      </c>
      <c r="L73" s="6">
        <f t="shared" si="4"/>
        <v>0.26229508196721313</v>
      </c>
      <c r="M73" t="s">
        <v>192</v>
      </c>
      <c r="N73">
        <v>76</v>
      </c>
      <c r="O73">
        <v>26453</v>
      </c>
      <c r="P73">
        <v>75</v>
      </c>
      <c r="R73">
        <v>99</v>
      </c>
      <c r="S73" s="3">
        <f t="shared" si="5"/>
        <v>24</v>
      </c>
      <c r="T73">
        <v>5</v>
      </c>
      <c r="U73">
        <v>92</v>
      </c>
      <c r="V73">
        <v>75</v>
      </c>
      <c r="W73" t="s">
        <v>33</v>
      </c>
      <c r="X73" t="s">
        <v>46</v>
      </c>
      <c r="Y73">
        <v>47</v>
      </c>
      <c r="Z73">
        <v>12</v>
      </c>
      <c r="AA73">
        <v>16</v>
      </c>
      <c r="AB73">
        <v>30</v>
      </c>
      <c r="AC73">
        <v>93475</v>
      </c>
    </row>
    <row r="74" spans="1:29" x14ac:dyDescent="0.35">
      <c r="A74" t="s">
        <v>193</v>
      </c>
      <c r="B74" t="s">
        <v>70</v>
      </c>
      <c r="C74" t="s">
        <v>48</v>
      </c>
      <c r="D74" s="4">
        <v>45481</v>
      </c>
      <c r="E74" s="4">
        <v>45518</v>
      </c>
      <c r="F74" s="5">
        <f t="shared" si="3"/>
        <v>37</v>
      </c>
      <c r="G74">
        <v>48276</v>
      </c>
      <c r="H74" t="s">
        <v>41</v>
      </c>
      <c r="I74">
        <v>148</v>
      </c>
      <c r="J74">
        <v>11</v>
      </c>
      <c r="K74">
        <v>4</v>
      </c>
      <c r="L74" s="6">
        <f t="shared" si="4"/>
        <v>2.7027027027027029E-2</v>
      </c>
      <c r="M74" t="s">
        <v>194</v>
      </c>
      <c r="N74">
        <v>26</v>
      </c>
      <c r="O74">
        <v>10373</v>
      </c>
      <c r="P74">
        <v>60</v>
      </c>
      <c r="R74">
        <v>80</v>
      </c>
      <c r="S74" s="3">
        <f t="shared" si="5"/>
        <v>20</v>
      </c>
      <c r="T74">
        <v>2</v>
      </c>
      <c r="U74">
        <v>81</v>
      </c>
      <c r="V74">
        <v>68</v>
      </c>
      <c r="W74" t="s">
        <v>38</v>
      </c>
      <c r="X74" t="s">
        <v>34</v>
      </c>
      <c r="Y74">
        <v>55</v>
      </c>
      <c r="Z74">
        <v>19</v>
      </c>
      <c r="AA74">
        <v>22</v>
      </c>
      <c r="AB74">
        <v>30</v>
      </c>
      <c r="AC74">
        <v>25104</v>
      </c>
    </row>
    <row r="75" spans="1:29" x14ac:dyDescent="0.35">
      <c r="A75" t="s">
        <v>195</v>
      </c>
      <c r="B75" t="s">
        <v>80</v>
      </c>
      <c r="C75" t="s">
        <v>30</v>
      </c>
      <c r="D75" s="4">
        <v>45531</v>
      </c>
      <c r="E75" s="4">
        <v>45538</v>
      </c>
      <c r="F75" s="5">
        <f t="shared" si="3"/>
        <v>7</v>
      </c>
      <c r="G75">
        <v>23451</v>
      </c>
      <c r="H75" t="s">
        <v>44</v>
      </c>
      <c r="I75">
        <v>152</v>
      </c>
      <c r="J75">
        <v>12</v>
      </c>
      <c r="K75">
        <v>7</v>
      </c>
      <c r="L75" s="6">
        <f t="shared" si="4"/>
        <v>4.6052631578947366E-2</v>
      </c>
      <c r="M75" t="s">
        <v>196</v>
      </c>
      <c r="N75">
        <v>19</v>
      </c>
      <c r="O75">
        <v>13403</v>
      </c>
      <c r="P75">
        <v>76</v>
      </c>
      <c r="R75">
        <v>96</v>
      </c>
      <c r="S75" s="3">
        <f t="shared" si="5"/>
        <v>20</v>
      </c>
      <c r="T75">
        <v>3</v>
      </c>
      <c r="U75">
        <v>86</v>
      </c>
      <c r="V75">
        <v>100</v>
      </c>
      <c r="W75" t="s">
        <v>33</v>
      </c>
      <c r="X75" t="s">
        <v>34</v>
      </c>
      <c r="Y75">
        <v>51</v>
      </c>
      <c r="Z75">
        <v>24</v>
      </c>
      <c r="AA75">
        <v>5</v>
      </c>
      <c r="AB75">
        <v>30</v>
      </c>
      <c r="AC75">
        <v>55973</v>
      </c>
    </row>
    <row r="76" spans="1:29" x14ac:dyDescent="0.35">
      <c r="A76" t="s">
        <v>197</v>
      </c>
      <c r="B76" t="s">
        <v>70</v>
      </c>
      <c r="C76" t="s">
        <v>89</v>
      </c>
      <c r="D76" s="4">
        <v>45777</v>
      </c>
      <c r="E76" s="4">
        <v>45814</v>
      </c>
      <c r="F76" s="5">
        <f t="shared" si="3"/>
        <v>37</v>
      </c>
      <c r="G76">
        <v>20059</v>
      </c>
      <c r="H76" t="s">
        <v>44</v>
      </c>
      <c r="I76">
        <v>100</v>
      </c>
      <c r="J76">
        <v>15</v>
      </c>
      <c r="K76">
        <v>13</v>
      </c>
      <c r="L76" s="6">
        <f t="shared" si="4"/>
        <v>0.13</v>
      </c>
      <c r="M76" t="s">
        <v>198</v>
      </c>
      <c r="N76">
        <v>10</v>
      </c>
      <c r="O76">
        <v>12926</v>
      </c>
      <c r="P76">
        <v>66</v>
      </c>
      <c r="R76">
        <v>81</v>
      </c>
      <c r="S76" s="3">
        <f t="shared" si="5"/>
        <v>15</v>
      </c>
      <c r="T76">
        <v>1</v>
      </c>
      <c r="U76">
        <v>75</v>
      </c>
      <c r="V76">
        <v>53</v>
      </c>
      <c r="W76" t="s">
        <v>38</v>
      </c>
      <c r="X76" t="s">
        <v>46</v>
      </c>
      <c r="Y76">
        <v>32</v>
      </c>
      <c r="Z76">
        <v>12</v>
      </c>
      <c r="AA76">
        <v>12</v>
      </c>
      <c r="AB76">
        <v>30</v>
      </c>
      <c r="AC76">
        <v>41209</v>
      </c>
    </row>
    <row r="77" spans="1:29" x14ac:dyDescent="0.35">
      <c r="A77" t="s">
        <v>199</v>
      </c>
      <c r="B77" t="s">
        <v>40</v>
      </c>
      <c r="C77" t="s">
        <v>89</v>
      </c>
      <c r="D77" s="4">
        <v>45531</v>
      </c>
      <c r="E77" s="4">
        <v>45553</v>
      </c>
      <c r="F77" s="5">
        <f t="shared" si="3"/>
        <v>22</v>
      </c>
      <c r="G77">
        <v>26603</v>
      </c>
      <c r="H77" t="s">
        <v>55</v>
      </c>
      <c r="I77">
        <v>46</v>
      </c>
      <c r="J77">
        <v>19</v>
      </c>
      <c r="K77">
        <v>8</v>
      </c>
      <c r="L77" s="6">
        <f t="shared" si="4"/>
        <v>0.17391304347826086</v>
      </c>
      <c r="M77" t="s">
        <v>200</v>
      </c>
      <c r="N77">
        <v>7</v>
      </c>
      <c r="O77">
        <v>1742</v>
      </c>
      <c r="P77">
        <v>76</v>
      </c>
      <c r="R77">
        <v>100</v>
      </c>
      <c r="S77" s="3">
        <f t="shared" si="5"/>
        <v>24</v>
      </c>
      <c r="T77">
        <v>3</v>
      </c>
      <c r="U77">
        <v>87</v>
      </c>
      <c r="V77">
        <v>56</v>
      </c>
      <c r="W77" t="s">
        <v>38</v>
      </c>
      <c r="X77" t="s">
        <v>46</v>
      </c>
      <c r="Y77">
        <v>52</v>
      </c>
      <c r="Z77">
        <v>11</v>
      </c>
      <c r="AA77">
        <v>15</v>
      </c>
      <c r="AB77">
        <v>30</v>
      </c>
      <c r="AC77">
        <v>31281</v>
      </c>
    </row>
    <row r="78" spans="1:29" x14ac:dyDescent="0.35">
      <c r="A78" t="s">
        <v>201</v>
      </c>
      <c r="B78" t="s">
        <v>80</v>
      </c>
      <c r="C78" t="s">
        <v>63</v>
      </c>
      <c r="D78" s="4">
        <v>45538</v>
      </c>
      <c r="E78" s="4">
        <v>45578</v>
      </c>
      <c r="F78" s="5">
        <f t="shared" si="3"/>
        <v>40</v>
      </c>
      <c r="G78">
        <v>8142</v>
      </c>
      <c r="H78" t="s">
        <v>31</v>
      </c>
      <c r="I78">
        <v>176</v>
      </c>
      <c r="J78">
        <v>4</v>
      </c>
      <c r="K78">
        <v>2</v>
      </c>
      <c r="L78" s="6">
        <f t="shared" si="4"/>
        <v>1.1363636363636364E-2</v>
      </c>
      <c r="M78" t="s">
        <v>202</v>
      </c>
      <c r="N78">
        <v>68</v>
      </c>
      <c r="O78">
        <v>15332</v>
      </c>
      <c r="P78">
        <v>56</v>
      </c>
      <c r="R78">
        <v>84</v>
      </c>
      <c r="S78" s="3">
        <f t="shared" si="5"/>
        <v>28</v>
      </c>
      <c r="T78">
        <v>5</v>
      </c>
      <c r="U78">
        <v>97</v>
      </c>
      <c r="V78">
        <v>72</v>
      </c>
      <c r="W78" t="s">
        <v>38</v>
      </c>
      <c r="X78" t="s">
        <v>34</v>
      </c>
      <c r="Y78">
        <v>35</v>
      </c>
      <c r="Z78">
        <v>21</v>
      </c>
      <c r="AA78">
        <v>4</v>
      </c>
      <c r="AB78">
        <v>30</v>
      </c>
      <c r="AC78">
        <v>96839</v>
      </c>
    </row>
    <row r="79" spans="1:29" x14ac:dyDescent="0.35">
      <c r="A79" t="s">
        <v>203</v>
      </c>
      <c r="B79" t="s">
        <v>75</v>
      </c>
      <c r="C79" t="s">
        <v>54</v>
      </c>
      <c r="D79" s="4">
        <v>45779</v>
      </c>
      <c r="E79" s="4">
        <v>45826</v>
      </c>
      <c r="F79" s="5">
        <f t="shared" si="3"/>
        <v>47</v>
      </c>
      <c r="G79">
        <v>7224</v>
      </c>
      <c r="H79" t="s">
        <v>44</v>
      </c>
      <c r="I79">
        <v>155</v>
      </c>
      <c r="J79">
        <v>6</v>
      </c>
      <c r="K79">
        <v>5</v>
      </c>
      <c r="L79" s="6">
        <f t="shared" si="4"/>
        <v>3.2258064516129031E-2</v>
      </c>
      <c r="M79" t="s">
        <v>204</v>
      </c>
      <c r="N79">
        <v>14</v>
      </c>
      <c r="O79">
        <v>10939</v>
      </c>
      <c r="P79">
        <v>46</v>
      </c>
      <c r="R79">
        <v>64</v>
      </c>
      <c r="S79" s="3">
        <f t="shared" si="5"/>
        <v>18</v>
      </c>
      <c r="T79">
        <v>1</v>
      </c>
      <c r="U79">
        <v>75</v>
      </c>
      <c r="V79">
        <v>68</v>
      </c>
      <c r="W79" t="s">
        <v>38</v>
      </c>
      <c r="X79" t="s">
        <v>34</v>
      </c>
      <c r="Y79">
        <v>54</v>
      </c>
      <c r="Z79">
        <v>6</v>
      </c>
      <c r="AA79">
        <v>3</v>
      </c>
      <c r="AB79">
        <v>30</v>
      </c>
      <c r="AC79">
        <v>87226</v>
      </c>
    </row>
    <row r="80" spans="1:29" x14ac:dyDescent="0.35">
      <c r="A80" t="s">
        <v>205</v>
      </c>
      <c r="B80" t="s">
        <v>75</v>
      </c>
      <c r="C80" t="s">
        <v>54</v>
      </c>
      <c r="D80" s="4">
        <v>45575</v>
      </c>
      <c r="E80" s="4">
        <v>45589</v>
      </c>
      <c r="F80" s="5">
        <f t="shared" si="3"/>
        <v>14</v>
      </c>
      <c r="G80">
        <v>42330</v>
      </c>
      <c r="H80" t="s">
        <v>44</v>
      </c>
      <c r="I80">
        <v>141</v>
      </c>
      <c r="J80">
        <v>14</v>
      </c>
      <c r="K80">
        <v>2</v>
      </c>
      <c r="L80" s="6">
        <f t="shared" si="4"/>
        <v>1.4184397163120567E-2</v>
      </c>
      <c r="M80" t="s">
        <v>206</v>
      </c>
      <c r="N80">
        <v>46</v>
      </c>
      <c r="O80">
        <v>24908</v>
      </c>
      <c r="P80">
        <v>59</v>
      </c>
      <c r="R80">
        <v>61</v>
      </c>
      <c r="S80" s="3">
        <f t="shared" si="5"/>
        <v>2</v>
      </c>
      <c r="T80">
        <v>3</v>
      </c>
      <c r="U80">
        <v>98</v>
      </c>
      <c r="V80">
        <v>68</v>
      </c>
      <c r="W80" t="s">
        <v>38</v>
      </c>
      <c r="X80" t="s">
        <v>46</v>
      </c>
      <c r="Y80">
        <v>41</v>
      </c>
      <c r="Z80">
        <v>19</v>
      </c>
      <c r="AA80">
        <v>25</v>
      </c>
      <c r="AB80">
        <v>30</v>
      </c>
      <c r="AC80">
        <v>55211</v>
      </c>
    </row>
    <row r="81" spans="1:29" x14ac:dyDescent="0.35">
      <c r="A81" t="s">
        <v>207</v>
      </c>
      <c r="B81" t="s">
        <v>58</v>
      </c>
      <c r="C81" t="s">
        <v>89</v>
      </c>
      <c r="D81" s="4">
        <v>45425</v>
      </c>
      <c r="E81" s="4">
        <v>45431</v>
      </c>
      <c r="F81" s="5">
        <f t="shared" si="3"/>
        <v>6</v>
      </c>
      <c r="G81">
        <v>41363</v>
      </c>
      <c r="H81" t="s">
        <v>36</v>
      </c>
      <c r="I81">
        <v>89</v>
      </c>
      <c r="J81">
        <v>19</v>
      </c>
      <c r="K81">
        <v>4</v>
      </c>
      <c r="L81" s="6">
        <f t="shared" si="4"/>
        <v>4.49438202247191E-2</v>
      </c>
      <c r="M81" t="s">
        <v>208</v>
      </c>
      <c r="N81">
        <v>74</v>
      </c>
      <c r="O81">
        <v>9832</v>
      </c>
      <c r="P81">
        <v>50</v>
      </c>
      <c r="R81">
        <v>80</v>
      </c>
      <c r="S81" s="3">
        <f t="shared" si="5"/>
        <v>30</v>
      </c>
      <c r="T81">
        <v>3</v>
      </c>
      <c r="U81">
        <v>85</v>
      </c>
      <c r="V81">
        <v>96</v>
      </c>
      <c r="W81" t="s">
        <v>38</v>
      </c>
      <c r="X81" t="s">
        <v>34</v>
      </c>
      <c r="Y81">
        <v>58</v>
      </c>
      <c r="Z81">
        <v>10</v>
      </c>
      <c r="AA81">
        <v>15</v>
      </c>
      <c r="AB81">
        <v>30</v>
      </c>
      <c r="AC81">
        <v>108450</v>
      </c>
    </row>
    <row r="82" spans="1:29" x14ac:dyDescent="0.35">
      <c r="A82" t="s">
        <v>209</v>
      </c>
      <c r="B82" t="s">
        <v>58</v>
      </c>
      <c r="C82" t="s">
        <v>48</v>
      </c>
      <c r="D82" s="4">
        <v>45451</v>
      </c>
      <c r="E82" s="4">
        <v>45497</v>
      </c>
      <c r="F82" s="5">
        <f t="shared" si="3"/>
        <v>46</v>
      </c>
      <c r="G82">
        <v>17728</v>
      </c>
      <c r="H82" t="s">
        <v>55</v>
      </c>
      <c r="I82">
        <v>16</v>
      </c>
      <c r="J82">
        <v>2</v>
      </c>
      <c r="K82">
        <v>1</v>
      </c>
      <c r="L82" s="6">
        <f t="shared" si="4"/>
        <v>6.25E-2</v>
      </c>
      <c r="M82" t="s">
        <v>210</v>
      </c>
      <c r="N82">
        <v>24</v>
      </c>
      <c r="O82">
        <v>26528</v>
      </c>
      <c r="P82">
        <v>72</v>
      </c>
      <c r="R82">
        <v>79</v>
      </c>
      <c r="S82" s="3">
        <f t="shared" si="5"/>
        <v>7</v>
      </c>
      <c r="T82">
        <v>3</v>
      </c>
      <c r="U82">
        <v>96</v>
      </c>
      <c r="V82">
        <v>84</v>
      </c>
      <c r="W82" t="s">
        <v>38</v>
      </c>
      <c r="X82" t="s">
        <v>34</v>
      </c>
      <c r="Y82">
        <v>38</v>
      </c>
      <c r="Z82">
        <v>17</v>
      </c>
      <c r="AA82">
        <v>11</v>
      </c>
      <c r="AB82">
        <v>30</v>
      </c>
      <c r="AC82">
        <v>111822</v>
      </c>
    </row>
    <row r="83" spans="1:29" x14ac:dyDescent="0.35">
      <c r="A83" t="s">
        <v>211</v>
      </c>
      <c r="B83" t="s">
        <v>40</v>
      </c>
      <c r="C83" t="s">
        <v>89</v>
      </c>
      <c r="D83" s="4">
        <v>45447</v>
      </c>
      <c r="E83" s="4">
        <v>45480</v>
      </c>
      <c r="F83" s="5">
        <f t="shared" si="3"/>
        <v>33</v>
      </c>
      <c r="G83">
        <v>39759</v>
      </c>
      <c r="H83" t="s">
        <v>36</v>
      </c>
      <c r="I83">
        <v>10</v>
      </c>
      <c r="J83">
        <v>6</v>
      </c>
      <c r="K83">
        <v>3</v>
      </c>
      <c r="L83" s="6">
        <f t="shared" si="4"/>
        <v>0.3</v>
      </c>
      <c r="M83" t="s">
        <v>212</v>
      </c>
      <c r="N83">
        <v>53</v>
      </c>
      <c r="O83">
        <v>9271</v>
      </c>
      <c r="P83">
        <v>69</v>
      </c>
      <c r="R83">
        <v>73</v>
      </c>
      <c r="S83" s="3">
        <f t="shared" si="5"/>
        <v>4</v>
      </c>
      <c r="T83">
        <v>2</v>
      </c>
      <c r="U83">
        <v>84</v>
      </c>
      <c r="V83">
        <v>80</v>
      </c>
      <c r="W83" t="s">
        <v>38</v>
      </c>
      <c r="X83" t="s">
        <v>34</v>
      </c>
      <c r="Y83">
        <v>23</v>
      </c>
      <c r="Z83">
        <v>22</v>
      </c>
      <c r="AA83">
        <v>16</v>
      </c>
      <c r="AB83">
        <v>30</v>
      </c>
      <c r="AC83">
        <v>45747</v>
      </c>
    </row>
    <row r="84" spans="1:29" x14ac:dyDescent="0.35">
      <c r="A84" t="s">
        <v>213</v>
      </c>
      <c r="B84" t="s">
        <v>70</v>
      </c>
      <c r="C84" t="s">
        <v>48</v>
      </c>
      <c r="D84" s="4">
        <v>45347</v>
      </c>
      <c r="E84" s="4">
        <v>45366</v>
      </c>
      <c r="F84" s="5">
        <f t="shared" si="3"/>
        <v>19</v>
      </c>
      <c r="G84">
        <v>34143</v>
      </c>
      <c r="H84" t="s">
        <v>41</v>
      </c>
      <c r="I84">
        <v>133</v>
      </c>
      <c r="J84">
        <v>20</v>
      </c>
      <c r="K84">
        <v>20</v>
      </c>
      <c r="L84" s="6">
        <f t="shared" si="4"/>
        <v>0.15037593984962405</v>
      </c>
      <c r="M84" t="s">
        <v>214</v>
      </c>
      <c r="N84">
        <v>8</v>
      </c>
      <c r="O84">
        <v>23712</v>
      </c>
      <c r="P84">
        <v>76</v>
      </c>
      <c r="R84">
        <v>91</v>
      </c>
      <c r="S84" s="3">
        <f t="shared" si="5"/>
        <v>15</v>
      </c>
      <c r="T84">
        <v>1</v>
      </c>
      <c r="U84">
        <v>88</v>
      </c>
      <c r="V84">
        <v>75</v>
      </c>
      <c r="W84" t="s">
        <v>33</v>
      </c>
      <c r="X84" t="s">
        <v>46</v>
      </c>
      <c r="Y84">
        <v>31</v>
      </c>
      <c r="Z84">
        <v>16</v>
      </c>
      <c r="AA84">
        <v>10</v>
      </c>
      <c r="AB84">
        <v>30</v>
      </c>
      <c r="AC84">
        <v>51435</v>
      </c>
    </row>
    <row r="85" spans="1:29" x14ac:dyDescent="0.35">
      <c r="A85" t="s">
        <v>215</v>
      </c>
      <c r="B85" t="s">
        <v>40</v>
      </c>
      <c r="C85" t="s">
        <v>48</v>
      </c>
      <c r="D85" s="4">
        <v>45556</v>
      </c>
      <c r="E85" s="4">
        <v>45610</v>
      </c>
      <c r="F85" s="5">
        <f t="shared" si="3"/>
        <v>54</v>
      </c>
      <c r="G85">
        <v>13183</v>
      </c>
      <c r="H85" t="s">
        <v>44</v>
      </c>
      <c r="I85">
        <v>128</v>
      </c>
      <c r="J85">
        <v>14</v>
      </c>
      <c r="K85">
        <v>14</v>
      </c>
      <c r="L85" s="6">
        <f t="shared" si="4"/>
        <v>0.109375</v>
      </c>
      <c r="M85" t="s">
        <v>216</v>
      </c>
      <c r="N85">
        <v>78</v>
      </c>
      <c r="O85">
        <v>10863</v>
      </c>
      <c r="P85">
        <v>59</v>
      </c>
      <c r="R85">
        <v>79</v>
      </c>
      <c r="S85" s="3">
        <f t="shared" si="5"/>
        <v>20</v>
      </c>
      <c r="T85">
        <v>1</v>
      </c>
      <c r="U85">
        <v>85</v>
      </c>
      <c r="V85">
        <v>53</v>
      </c>
      <c r="W85" t="s">
        <v>38</v>
      </c>
      <c r="X85" t="s">
        <v>46</v>
      </c>
      <c r="Y85">
        <v>30</v>
      </c>
      <c r="Z85">
        <v>24</v>
      </c>
      <c r="AA85">
        <v>25</v>
      </c>
      <c r="AB85">
        <v>30</v>
      </c>
      <c r="AC85">
        <v>93373</v>
      </c>
    </row>
    <row r="86" spans="1:29" x14ac:dyDescent="0.35">
      <c r="A86" t="s">
        <v>217</v>
      </c>
      <c r="B86" t="s">
        <v>58</v>
      </c>
      <c r="C86" t="s">
        <v>30</v>
      </c>
      <c r="D86" s="4">
        <v>45541</v>
      </c>
      <c r="E86" s="4">
        <v>45569</v>
      </c>
      <c r="F86" s="5">
        <f t="shared" si="3"/>
        <v>28</v>
      </c>
      <c r="G86">
        <v>48999</v>
      </c>
      <c r="H86" t="s">
        <v>41</v>
      </c>
      <c r="I86">
        <v>182</v>
      </c>
      <c r="J86">
        <v>2</v>
      </c>
      <c r="K86">
        <v>1</v>
      </c>
      <c r="L86" s="6">
        <f t="shared" si="4"/>
        <v>5.4945054945054949E-3</v>
      </c>
      <c r="M86" t="s">
        <v>218</v>
      </c>
      <c r="N86">
        <v>56</v>
      </c>
      <c r="O86">
        <v>2475</v>
      </c>
      <c r="P86">
        <v>81</v>
      </c>
      <c r="R86">
        <v>100</v>
      </c>
      <c r="S86" s="3">
        <f t="shared" si="5"/>
        <v>19</v>
      </c>
      <c r="T86">
        <v>5</v>
      </c>
      <c r="U86">
        <v>84</v>
      </c>
      <c r="V86">
        <v>51</v>
      </c>
      <c r="W86" t="s">
        <v>38</v>
      </c>
      <c r="X86" t="s">
        <v>34</v>
      </c>
      <c r="Y86">
        <v>23</v>
      </c>
      <c r="Z86">
        <v>7</v>
      </c>
      <c r="AA86">
        <v>5</v>
      </c>
      <c r="AB86">
        <v>30</v>
      </c>
      <c r="AC86">
        <v>28661</v>
      </c>
    </row>
    <row r="87" spans="1:29" x14ac:dyDescent="0.35">
      <c r="A87" t="s">
        <v>219</v>
      </c>
      <c r="B87" t="s">
        <v>75</v>
      </c>
      <c r="C87" t="s">
        <v>30</v>
      </c>
      <c r="D87" s="4">
        <v>45451</v>
      </c>
      <c r="E87" s="4">
        <v>45499</v>
      </c>
      <c r="F87" s="5">
        <f t="shared" si="3"/>
        <v>48</v>
      </c>
      <c r="G87">
        <v>10382</v>
      </c>
      <c r="H87" t="s">
        <v>44</v>
      </c>
      <c r="I87">
        <v>73</v>
      </c>
      <c r="J87">
        <v>20</v>
      </c>
      <c r="K87">
        <v>10</v>
      </c>
      <c r="L87" s="6">
        <f t="shared" si="4"/>
        <v>0.13698630136986301</v>
      </c>
      <c r="M87" t="s">
        <v>220</v>
      </c>
      <c r="N87">
        <v>37</v>
      </c>
      <c r="O87">
        <v>13139</v>
      </c>
      <c r="P87">
        <v>64</v>
      </c>
      <c r="R87">
        <v>75</v>
      </c>
      <c r="S87" s="3">
        <f t="shared" si="5"/>
        <v>11</v>
      </c>
      <c r="T87">
        <v>2</v>
      </c>
      <c r="U87">
        <v>75</v>
      </c>
      <c r="V87">
        <v>60</v>
      </c>
      <c r="W87" t="s">
        <v>38</v>
      </c>
      <c r="X87" t="s">
        <v>34</v>
      </c>
      <c r="Y87">
        <v>29</v>
      </c>
      <c r="Z87">
        <v>3</v>
      </c>
      <c r="AA87">
        <v>17</v>
      </c>
      <c r="AB87">
        <v>30</v>
      </c>
      <c r="AC87">
        <v>31505</v>
      </c>
    </row>
    <row r="88" spans="1:29" x14ac:dyDescent="0.35">
      <c r="A88" t="s">
        <v>221</v>
      </c>
      <c r="B88" t="s">
        <v>58</v>
      </c>
      <c r="C88" t="s">
        <v>30</v>
      </c>
      <c r="D88" s="4">
        <v>45622</v>
      </c>
      <c r="E88" s="4">
        <v>45657</v>
      </c>
      <c r="F88" s="5">
        <f t="shared" si="3"/>
        <v>35</v>
      </c>
      <c r="G88">
        <v>17958</v>
      </c>
      <c r="H88" t="s">
        <v>44</v>
      </c>
      <c r="I88">
        <v>74</v>
      </c>
      <c r="J88">
        <v>15</v>
      </c>
      <c r="K88">
        <v>9</v>
      </c>
      <c r="L88" s="6">
        <f t="shared" si="4"/>
        <v>0.12162162162162163</v>
      </c>
      <c r="M88" t="s">
        <v>222</v>
      </c>
      <c r="N88">
        <v>43</v>
      </c>
      <c r="O88">
        <v>20918</v>
      </c>
      <c r="P88">
        <v>66</v>
      </c>
      <c r="R88">
        <v>74</v>
      </c>
      <c r="S88" s="3">
        <f t="shared" si="5"/>
        <v>8</v>
      </c>
      <c r="T88">
        <v>5</v>
      </c>
      <c r="U88">
        <v>100</v>
      </c>
      <c r="V88">
        <v>54</v>
      </c>
      <c r="W88" t="s">
        <v>38</v>
      </c>
      <c r="X88" t="s">
        <v>34</v>
      </c>
      <c r="Y88">
        <v>36</v>
      </c>
      <c r="Z88">
        <v>9</v>
      </c>
      <c r="AA88">
        <v>14</v>
      </c>
      <c r="AB88">
        <v>30</v>
      </c>
      <c r="AC88">
        <v>30993</v>
      </c>
    </row>
    <row r="89" spans="1:29" x14ac:dyDescent="0.35">
      <c r="A89" t="s">
        <v>223</v>
      </c>
      <c r="B89" t="s">
        <v>58</v>
      </c>
      <c r="C89" t="s">
        <v>48</v>
      </c>
      <c r="D89" s="4">
        <v>45683</v>
      </c>
      <c r="E89" s="4">
        <v>45692</v>
      </c>
      <c r="F89" s="5">
        <f t="shared" si="3"/>
        <v>9</v>
      </c>
      <c r="G89">
        <v>24190</v>
      </c>
      <c r="H89" t="s">
        <v>31</v>
      </c>
      <c r="I89">
        <v>139</v>
      </c>
      <c r="J89">
        <v>2</v>
      </c>
      <c r="K89">
        <v>2</v>
      </c>
      <c r="L89" s="6">
        <f t="shared" si="4"/>
        <v>1.4388489208633094E-2</v>
      </c>
      <c r="M89" t="s">
        <v>224</v>
      </c>
      <c r="N89">
        <v>67</v>
      </c>
      <c r="O89">
        <v>15030</v>
      </c>
      <c r="P89">
        <v>74</v>
      </c>
      <c r="R89">
        <v>96</v>
      </c>
      <c r="S89" s="3">
        <f t="shared" si="5"/>
        <v>22</v>
      </c>
      <c r="T89">
        <v>1</v>
      </c>
      <c r="U89">
        <v>99</v>
      </c>
      <c r="V89">
        <v>60</v>
      </c>
      <c r="W89" t="s">
        <v>33</v>
      </c>
      <c r="X89" t="s">
        <v>46</v>
      </c>
      <c r="Y89">
        <v>27</v>
      </c>
      <c r="Z89">
        <v>24</v>
      </c>
      <c r="AA89">
        <v>2</v>
      </c>
      <c r="AB89">
        <v>30</v>
      </c>
      <c r="AC89">
        <v>106851</v>
      </c>
    </row>
    <row r="90" spans="1:29" x14ac:dyDescent="0.35">
      <c r="A90" t="s">
        <v>225</v>
      </c>
      <c r="B90" t="s">
        <v>40</v>
      </c>
      <c r="C90" t="s">
        <v>54</v>
      </c>
      <c r="D90" s="4">
        <v>45468</v>
      </c>
      <c r="E90" s="4">
        <v>45508</v>
      </c>
      <c r="F90" s="5">
        <f t="shared" si="3"/>
        <v>40</v>
      </c>
      <c r="G90">
        <v>37775</v>
      </c>
      <c r="H90" t="s">
        <v>44</v>
      </c>
      <c r="I90">
        <v>166</v>
      </c>
      <c r="J90">
        <v>18</v>
      </c>
      <c r="K90">
        <v>13</v>
      </c>
      <c r="L90" s="6">
        <f t="shared" si="4"/>
        <v>7.8313253012048195E-2</v>
      </c>
      <c r="M90" t="s">
        <v>226</v>
      </c>
      <c r="N90">
        <v>77</v>
      </c>
      <c r="O90">
        <v>25305</v>
      </c>
      <c r="P90">
        <v>52</v>
      </c>
      <c r="R90">
        <v>73</v>
      </c>
      <c r="S90" s="3">
        <f t="shared" si="5"/>
        <v>21</v>
      </c>
      <c r="T90">
        <v>5</v>
      </c>
      <c r="U90">
        <v>97</v>
      </c>
      <c r="V90">
        <v>99</v>
      </c>
      <c r="W90" t="s">
        <v>38</v>
      </c>
      <c r="X90" t="s">
        <v>46</v>
      </c>
      <c r="Y90">
        <v>57</v>
      </c>
      <c r="Z90">
        <v>15</v>
      </c>
      <c r="AA90">
        <v>25</v>
      </c>
      <c r="AB90">
        <v>30</v>
      </c>
      <c r="AC90">
        <v>35714</v>
      </c>
    </row>
    <row r="91" spans="1:29" x14ac:dyDescent="0.35">
      <c r="A91" t="s">
        <v>227</v>
      </c>
      <c r="B91" t="s">
        <v>29</v>
      </c>
      <c r="C91" t="s">
        <v>48</v>
      </c>
      <c r="D91" s="4">
        <v>45702</v>
      </c>
      <c r="E91" s="4">
        <v>45725</v>
      </c>
      <c r="F91" s="5">
        <f t="shared" si="3"/>
        <v>23</v>
      </c>
      <c r="G91">
        <v>13032</v>
      </c>
      <c r="H91" t="s">
        <v>41</v>
      </c>
      <c r="I91">
        <v>187</v>
      </c>
      <c r="J91">
        <v>16</v>
      </c>
      <c r="K91">
        <v>6</v>
      </c>
      <c r="L91" s="6">
        <f t="shared" si="4"/>
        <v>3.2085561497326207E-2</v>
      </c>
      <c r="M91" t="s">
        <v>228</v>
      </c>
      <c r="N91">
        <v>35</v>
      </c>
      <c r="O91">
        <v>15834</v>
      </c>
      <c r="P91">
        <v>76</v>
      </c>
      <c r="R91">
        <v>100</v>
      </c>
      <c r="S91" s="3">
        <f t="shared" si="5"/>
        <v>24</v>
      </c>
      <c r="T91">
        <v>4</v>
      </c>
      <c r="U91">
        <v>91</v>
      </c>
      <c r="V91">
        <v>58</v>
      </c>
      <c r="W91" t="s">
        <v>38</v>
      </c>
      <c r="X91" t="s">
        <v>34</v>
      </c>
      <c r="Y91">
        <v>60</v>
      </c>
      <c r="Z91">
        <v>14</v>
      </c>
      <c r="AA91">
        <v>13</v>
      </c>
      <c r="AB91">
        <v>30</v>
      </c>
      <c r="AC91">
        <v>28736</v>
      </c>
    </row>
    <row r="92" spans="1:29" x14ac:dyDescent="0.35">
      <c r="A92" t="s">
        <v>229</v>
      </c>
      <c r="B92" t="s">
        <v>29</v>
      </c>
      <c r="C92" t="s">
        <v>54</v>
      </c>
      <c r="D92" s="4">
        <v>45517</v>
      </c>
      <c r="E92" s="4">
        <v>45576</v>
      </c>
      <c r="F92" s="5">
        <f t="shared" si="3"/>
        <v>59</v>
      </c>
      <c r="G92">
        <v>47060</v>
      </c>
      <c r="H92" t="s">
        <v>55</v>
      </c>
      <c r="I92">
        <v>92</v>
      </c>
      <c r="J92">
        <v>2</v>
      </c>
      <c r="K92">
        <v>2</v>
      </c>
      <c r="L92" s="6">
        <f t="shared" si="4"/>
        <v>2.1739130434782608E-2</v>
      </c>
      <c r="M92" t="s">
        <v>230</v>
      </c>
      <c r="N92">
        <v>34</v>
      </c>
      <c r="O92">
        <v>29132</v>
      </c>
      <c r="P92">
        <v>69</v>
      </c>
      <c r="R92">
        <v>96</v>
      </c>
      <c r="S92" s="3">
        <f t="shared" si="5"/>
        <v>27</v>
      </c>
      <c r="T92">
        <v>2</v>
      </c>
      <c r="U92">
        <v>86</v>
      </c>
      <c r="V92">
        <v>95</v>
      </c>
      <c r="W92" t="s">
        <v>33</v>
      </c>
      <c r="X92" t="s">
        <v>34</v>
      </c>
      <c r="Y92">
        <v>31</v>
      </c>
      <c r="Z92">
        <v>11</v>
      </c>
      <c r="AA92">
        <v>25</v>
      </c>
      <c r="AB92">
        <v>30</v>
      </c>
      <c r="AC92">
        <v>26720</v>
      </c>
    </row>
    <row r="93" spans="1:29" x14ac:dyDescent="0.35">
      <c r="A93" t="s">
        <v>231</v>
      </c>
      <c r="B93" t="s">
        <v>58</v>
      </c>
      <c r="C93" t="s">
        <v>51</v>
      </c>
      <c r="D93" s="4">
        <v>45294</v>
      </c>
      <c r="E93" s="4">
        <v>45342</v>
      </c>
      <c r="F93" s="5">
        <f t="shared" si="3"/>
        <v>48</v>
      </c>
      <c r="G93">
        <v>17622</v>
      </c>
      <c r="H93" t="s">
        <v>55</v>
      </c>
      <c r="I93">
        <v>193</v>
      </c>
      <c r="J93">
        <v>15</v>
      </c>
      <c r="K93">
        <v>11</v>
      </c>
      <c r="L93" s="6">
        <f t="shared" si="4"/>
        <v>5.6994818652849742E-2</v>
      </c>
      <c r="M93" t="s">
        <v>232</v>
      </c>
      <c r="N93">
        <v>47</v>
      </c>
      <c r="O93">
        <v>12436</v>
      </c>
      <c r="P93">
        <v>48</v>
      </c>
      <c r="R93">
        <v>52</v>
      </c>
      <c r="S93" s="3">
        <f t="shared" si="5"/>
        <v>4</v>
      </c>
      <c r="T93">
        <v>5</v>
      </c>
      <c r="U93">
        <v>78</v>
      </c>
      <c r="V93">
        <v>90</v>
      </c>
      <c r="W93" t="s">
        <v>33</v>
      </c>
      <c r="X93" t="s">
        <v>46</v>
      </c>
      <c r="Y93">
        <v>33</v>
      </c>
      <c r="Z93">
        <v>1</v>
      </c>
      <c r="AA93">
        <v>25</v>
      </c>
      <c r="AB93">
        <v>30</v>
      </c>
      <c r="AC93">
        <v>48028</v>
      </c>
    </row>
    <row r="94" spans="1:29" x14ac:dyDescent="0.35">
      <c r="A94" t="s">
        <v>233</v>
      </c>
      <c r="B94" t="s">
        <v>40</v>
      </c>
      <c r="C94" t="s">
        <v>30</v>
      </c>
      <c r="D94" s="4">
        <v>45388</v>
      </c>
      <c r="E94" s="4">
        <v>45435</v>
      </c>
      <c r="F94" s="5">
        <f t="shared" si="3"/>
        <v>47</v>
      </c>
      <c r="G94">
        <v>25318</v>
      </c>
      <c r="H94" t="s">
        <v>44</v>
      </c>
      <c r="I94">
        <v>190</v>
      </c>
      <c r="J94">
        <v>16</v>
      </c>
      <c r="K94">
        <v>15</v>
      </c>
      <c r="L94" s="6">
        <f t="shared" si="4"/>
        <v>7.8947368421052627E-2</v>
      </c>
      <c r="M94" t="s">
        <v>234</v>
      </c>
      <c r="N94">
        <v>67</v>
      </c>
      <c r="O94">
        <v>20659</v>
      </c>
      <c r="P94">
        <v>62</v>
      </c>
      <c r="R94">
        <v>74</v>
      </c>
      <c r="S94" s="3">
        <f t="shared" si="5"/>
        <v>12</v>
      </c>
      <c r="T94">
        <v>3</v>
      </c>
      <c r="U94">
        <v>89</v>
      </c>
      <c r="V94">
        <v>74</v>
      </c>
      <c r="W94" t="s">
        <v>38</v>
      </c>
      <c r="X94" t="s">
        <v>46</v>
      </c>
      <c r="Y94">
        <v>37</v>
      </c>
      <c r="Z94">
        <v>23</v>
      </c>
      <c r="AA94">
        <v>7</v>
      </c>
      <c r="AB94">
        <v>30</v>
      </c>
      <c r="AC94">
        <v>85669</v>
      </c>
    </row>
    <row r="95" spans="1:29" x14ac:dyDescent="0.35">
      <c r="A95" t="s">
        <v>235</v>
      </c>
      <c r="B95" t="s">
        <v>40</v>
      </c>
      <c r="C95" t="s">
        <v>89</v>
      </c>
      <c r="D95" s="4">
        <v>45411</v>
      </c>
      <c r="E95" s="4">
        <v>45434</v>
      </c>
      <c r="F95" s="5">
        <f t="shared" si="3"/>
        <v>23</v>
      </c>
      <c r="G95">
        <v>32281</v>
      </c>
      <c r="H95" t="s">
        <v>31</v>
      </c>
      <c r="I95">
        <v>145</v>
      </c>
      <c r="J95">
        <v>16</v>
      </c>
      <c r="K95">
        <v>1</v>
      </c>
      <c r="L95" s="6">
        <f t="shared" si="4"/>
        <v>6.8965517241379309E-3</v>
      </c>
      <c r="M95" t="s">
        <v>236</v>
      </c>
      <c r="N95">
        <v>9</v>
      </c>
      <c r="O95">
        <v>9131</v>
      </c>
      <c r="P95">
        <v>81</v>
      </c>
      <c r="R95">
        <v>86</v>
      </c>
      <c r="S95" s="3">
        <f t="shared" si="5"/>
        <v>5</v>
      </c>
      <c r="T95">
        <v>3</v>
      </c>
      <c r="U95">
        <v>94</v>
      </c>
      <c r="V95">
        <v>55</v>
      </c>
      <c r="W95" t="s">
        <v>38</v>
      </c>
      <c r="X95" t="s">
        <v>46</v>
      </c>
      <c r="Y95">
        <v>33</v>
      </c>
      <c r="Z95">
        <v>2</v>
      </c>
      <c r="AA95">
        <v>4</v>
      </c>
      <c r="AB95">
        <v>30</v>
      </c>
      <c r="AC95">
        <v>50232</v>
      </c>
    </row>
    <row r="96" spans="1:29" x14ac:dyDescent="0.35">
      <c r="A96" t="s">
        <v>237</v>
      </c>
      <c r="B96" t="s">
        <v>40</v>
      </c>
      <c r="C96" t="s">
        <v>51</v>
      </c>
      <c r="D96" s="4">
        <v>45745</v>
      </c>
      <c r="E96" s="4">
        <v>45759</v>
      </c>
      <c r="F96" s="5">
        <f t="shared" si="3"/>
        <v>14</v>
      </c>
      <c r="G96">
        <v>24004</v>
      </c>
      <c r="H96" t="s">
        <v>41</v>
      </c>
      <c r="I96">
        <v>159</v>
      </c>
      <c r="J96">
        <v>9</v>
      </c>
      <c r="K96">
        <v>7</v>
      </c>
      <c r="L96" s="6">
        <f t="shared" si="4"/>
        <v>4.40251572327044E-2</v>
      </c>
      <c r="M96" t="s">
        <v>238</v>
      </c>
      <c r="N96">
        <v>23</v>
      </c>
      <c r="O96">
        <v>5482</v>
      </c>
      <c r="P96">
        <v>53</v>
      </c>
      <c r="R96">
        <v>58</v>
      </c>
      <c r="S96" s="3">
        <f t="shared" si="5"/>
        <v>5</v>
      </c>
      <c r="T96">
        <v>3</v>
      </c>
      <c r="U96">
        <v>78</v>
      </c>
      <c r="V96">
        <v>98</v>
      </c>
      <c r="W96" t="s">
        <v>38</v>
      </c>
      <c r="X96" t="s">
        <v>46</v>
      </c>
      <c r="Y96">
        <v>52</v>
      </c>
      <c r="Z96">
        <v>11</v>
      </c>
      <c r="AA96">
        <v>14</v>
      </c>
      <c r="AB96">
        <v>30</v>
      </c>
      <c r="AC96">
        <v>88492</v>
      </c>
    </row>
    <row r="97" spans="1:29" x14ac:dyDescent="0.35">
      <c r="A97" t="s">
        <v>239</v>
      </c>
      <c r="B97" t="s">
        <v>58</v>
      </c>
      <c r="C97" t="s">
        <v>51</v>
      </c>
      <c r="D97" s="4">
        <v>45460</v>
      </c>
      <c r="E97" s="4">
        <v>45509</v>
      </c>
      <c r="F97" s="5">
        <f t="shared" si="3"/>
        <v>49</v>
      </c>
      <c r="G97">
        <v>17777</v>
      </c>
      <c r="H97" t="s">
        <v>55</v>
      </c>
      <c r="I97">
        <v>45</v>
      </c>
      <c r="J97">
        <v>15</v>
      </c>
      <c r="K97">
        <v>5</v>
      </c>
      <c r="L97" s="6">
        <f t="shared" si="4"/>
        <v>0.1111111111111111</v>
      </c>
      <c r="M97" t="s">
        <v>240</v>
      </c>
      <c r="N97">
        <v>54</v>
      </c>
      <c r="O97">
        <v>2969</v>
      </c>
      <c r="P97">
        <v>49</v>
      </c>
      <c r="R97">
        <v>57</v>
      </c>
      <c r="S97" s="3">
        <f t="shared" si="5"/>
        <v>8</v>
      </c>
      <c r="T97">
        <v>1</v>
      </c>
      <c r="U97">
        <v>80</v>
      </c>
      <c r="V97">
        <v>90</v>
      </c>
      <c r="W97" t="s">
        <v>38</v>
      </c>
      <c r="X97" t="s">
        <v>46</v>
      </c>
      <c r="Y97">
        <v>28</v>
      </c>
      <c r="Z97">
        <v>19</v>
      </c>
      <c r="AA97">
        <v>12</v>
      </c>
      <c r="AB97">
        <v>30</v>
      </c>
      <c r="AC97">
        <v>47268</v>
      </c>
    </row>
    <row r="98" spans="1:29" x14ac:dyDescent="0.35">
      <c r="A98" t="s">
        <v>241</v>
      </c>
      <c r="B98" t="s">
        <v>80</v>
      </c>
      <c r="C98" t="s">
        <v>89</v>
      </c>
      <c r="D98" s="4">
        <v>45713</v>
      </c>
      <c r="E98" s="4">
        <v>45747</v>
      </c>
      <c r="F98" s="5">
        <f t="shared" si="3"/>
        <v>34</v>
      </c>
      <c r="G98">
        <v>25740</v>
      </c>
      <c r="H98" t="s">
        <v>44</v>
      </c>
      <c r="I98">
        <v>39</v>
      </c>
      <c r="J98">
        <v>11</v>
      </c>
      <c r="K98">
        <v>10</v>
      </c>
      <c r="L98" s="6">
        <f t="shared" si="4"/>
        <v>0.25641025641025639</v>
      </c>
      <c r="M98" t="s">
        <v>242</v>
      </c>
      <c r="N98">
        <v>78</v>
      </c>
      <c r="O98">
        <v>16717</v>
      </c>
      <c r="P98">
        <v>61</v>
      </c>
      <c r="R98">
        <v>72</v>
      </c>
      <c r="S98" s="3">
        <f t="shared" si="5"/>
        <v>11</v>
      </c>
      <c r="T98">
        <v>3</v>
      </c>
      <c r="U98">
        <v>97</v>
      </c>
      <c r="V98">
        <v>59</v>
      </c>
      <c r="W98" t="s">
        <v>38</v>
      </c>
      <c r="X98" t="s">
        <v>34</v>
      </c>
      <c r="Y98">
        <v>46</v>
      </c>
      <c r="Z98">
        <v>14</v>
      </c>
      <c r="AA98">
        <v>24</v>
      </c>
      <c r="AB98">
        <v>30</v>
      </c>
      <c r="AC98">
        <v>97595</v>
      </c>
    </row>
    <row r="99" spans="1:29" x14ac:dyDescent="0.35">
      <c r="A99" t="s">
        <v>243</v>
      </c>
      <c r="B99" t="s">
        <v>80</v>
      </c>
      <c r="C99" t="s">
        <v>63</v>
      </c>
      <c r="D99" s="4">
        <v>45790</v>
      </c>
      <c r="E99" s="4">
        <v>45797</v>
      </c>
      <c r="F99" s="5">
        <f t="shared" si="3"/>
        <v>7</v>
      </c>
      <c r="G99">
        <v>8005</v>
      </c>
      <c r="H99" t="s">
        <v>31</v>
      </c>
      <c r="I99">
        <v>90</v>
      </c>
      <c r="J99">
        <v>17</v>
      </c>
      <c r="K99">
        <v>15</v>
      </c>
      <c r="L99" s="6">
        <f t="shared" si="4"/>
        <v>0.16666666666666666</v>
      </c>
      <c r="M99" t="s">
        <v>244</v>
      </c>
      <c r="N99">
        <v>28</v>
      </c>
      <c r="O99">
        <v>25145</v>
      </c>
      <c r="P99">
        <v>41</v>
      </c>
      <c r="R99">
        <v>60</v>
      </c>
      <c r="S99" s="3">
        <f t="shared" si="5"/>
        <v>19</v>
      </c>
      <c r="T99">
        <v>5</v>
      </c>
      <c r="U99">
        <v>84</v>
      </c>
      <c r="V99">
        <v>58</v>
      </c>
      <c r="W99" t="s">
        <v>33</v>
      </c>
      <c r="X99" t="s">
        <v>46</v>
      </c>
      <c r="Y99">
        <v>32</v>
      </c>
      <c r="Z99">
        <v>8</v>
      </c>
      <c r="AA99">
        <v>0</v>
      </c>
      <c r="AB99">
        <v>30</v>
      </c>
      <c r="AC99">
        <v>111236</v>
      </c>
    </row>
    <row r="100" spans="1:29" x14ac:dyDescent="0.35">
      <c r="A100" t="s">
        <v>245</v>
      </c>
      <c r="B100" t="s">
        <v>80</v>
      </c>
      <c r="C100" t="s">
        <v>51</v>
      </c>
      <c r="D100" s="4">
        <v>45651</v>
      </c>
      <c r="E100" s="4">
        <v>45699</v>
      </c>
      <c r="F100" s="5">
        <f t="shared" si="3"/>
        <v>48</v>
      </c>
      <c r="G100">
        <v>49583</v>
      </c>
      <c r="H100" t="s">
        <v>44</v>
      </c>
      <c r="I100">
        <v>125</v>
      </c>
      <c r="J100">
        <v>16</v>
      </c>
      <c r="K100">
        <v>2</v>
      </c>
      <c r="L100" s="6">
        <f t="shared" si="4"/>
        <v>1.6E-2</v>
      </c>
      <c r="M100" t="s">
        <v>246</v>
      </c>
      <c r="N100">
        <v>23</v>
      </c>
      <c r="O100">
        <v>12081</v>
      </c>
      <c r="P100">
        <v>41</v>
      </c>
      <c r="R100">
        <v>54</v>
      </c>
      <c r="S100" s="3">
        <f t="shared" si="5"/>
        <v>13</v>
      </c>
      <c r="T100">
        <v>4</v>
      </c>
      <c r="U100">
        <v>84</v>
      </c>
      <c r="V100">
        <v>56</v>
      </c>
      <c r="W100" t="s">
        <v>38</v>
      </c>
      <c r="X100" t="s">
        <v>46</v>
      </c>
      <c r="Y100">
        <v>31</v>
      </c>
      <c r="Z100">
        <v>15</v>
      </c>
      <c r="AA100">
        <v>1</v>
      </c>
      <c r="AB100">
        <v>30</v>
      </c>
      <c r="AC100">
        <v>44730</v>
      </c>
    </row>
    <row r="101" spans="1:29" x14ac:dyDescent="0.35">
      <c r="A101" t="s">
        <v>247</v>
      </c>
      <c r="B101" t="s">
        <v>80</v>
      </c>
      <c r="C101" t="s">
        <v>54</v>
      </c>
      <c r="D101" s="4">
        <v>45400</v>
      </c>
      <c r="E101" s="4">
        <v>45448</v>
      </c>
      <c r="F101" s="5">
        <f t="shared" si="3"/>
        <v>48</v>
      </c>
      <c r="G101">
        <v>9280</v>
      </c>
      <c r="H101" t="s">
        <v>36</v>
      </c>
      <c r="I101">
        <v>15</v>
      </c>
      <c r="J101">
        <v>5</v>
      </c>
      <c r="K101">
        <v>1</v>
      </c>
      <c r="L101" s="6">
        <f t="shared" si="4"/>
        <v>6.6666666666666666E-2</v>
      </c>
      <c r="M101" t="s">
        <v>248</v>
      </c>
      <c r="N101">
        <v>50</v>
      </c>
      <c r="O101">
        <v>3107</v>
      </c>
      <c r="P101">
        <v>56</v>
      </c>
      <c r="R101">
        <v>84</v>
      </c>
      <c r="S101" s="3">
        <f t="shared" si="5"/>
        <v>28</v>
      </c>
      <c r="T101">
        <v>4</v>
      </c>
      <c r="U101">
        <v>96</v>
      </c>
      <c r="V101">
        <v>96</v>
      </c>
      <c r="W101" t="s">
        <v>38</v>
      </c>
      <c r="X101" t="s">
        <v>34</v>
      </c>
      <c r="Y101">
        <v>46</v>
      </c>
      <c r="Z101">
        <v>2</v>
      </c>
      <c r="AA101">
        <v>5</v>
      </c>
      <c r="AB101">
        <v>30</v>
      </c>
      <c r="AC101">
        <v>96247</v>
      </c>
    </row>
    <row r="102" spans="1:29" x14ac:dyDescent="0.35">
      <c r="A102" t="s">
        <v>249</v>
      </c>
      <c r="B102" t="s">
        <v>58</v>
      </c>
      <c r="C102" t="s">
        <v>48</v>
      </c>
      <c r="D102" s="4">
        <v>45655</v>
      </c>
      <c r="E102" s="4">
        <v>45702</v>
      </c>
      <c r="F102" s="5">
        <f t="shared" si="3"/>
        <v>47</v>
      </c>
      <c r="G102">
        <v>40076</v>
      </c>
      <c r="H102" t="s">
        <v>41</v>
      </c>
      <c r="I102">
        <v>195</v>
      </c>
      <c r="J102">
        <v>19</v>
      </c>
      <c r="K102">
        <v>19</v>
      </c>
      <c r="L102" s="6">
        <f t="shared" si="4"/>
        <v>9.7435897435897437E-2</v>
      </c>
      <c r="M102" t="s">
        <v>250</v>
      </c>
      <c r="N102">
        <v>79</v>
      </c>
      <c r="O102">
        <v>9691</v>
      </c>
      <c r="P102">
        <v>77</v>
      </c>
      <c r="R102">
        <v>100</v>
      </c>
      <c r="S102" s="3">
        <f t="shared" si="5"/>
        <v>23</v>
      </c>
      <c r="T102">
        <v>2</v>
      </c>
      <c r="U102">
        <v>83</v>
      </c>
      <c r="V102">
        <v>79</v>
      </c>
      <c r="W102" t="s">
        <v>38</v>
      </c>
      <c r="X102" t="s">
        <v>46</v>
      </c>
      <c r="Y102">
        <v>60</v>
      </c>
      <c r="Z102">
        <v>17</v>
      </c>
      <c r="AA102">
        <v>16</v>
      </c>
      <c r="AB102">
        <v>30</v>
      </c>
      <c r="AC102">
        <v>73610</v>
      </c>
    </row>
    <row r="103" spans="1:29" x14ac:dyDescent="0.35">
      <c r="A103" t="s">
        <v>251</v>
      </c>
      <c r="B103" t="s">
        <v>29</v>
      </c>
      <c r="C103" t="s">
        <v>51</v>
      </c>
      <c r="D103" s="4">
        <v>45630</v>
      </c>
      <c r="E103" s="4">
        <v>45680</v>
      </c>
      <c r="F103" s="5">
        <f t="shared" si="3"/>
        <v>50</v>
      </c>
      <c r="G103">
        <v>8962</v>
      </c>
      <c r="H103" t="s">
        <v>31</v>
      </c>
      <c r="I103">
        <v>127</v>
      </c>
      <c r="J103">
        <v>14</v>
      </c>
      <c r="K103">
        <v>7</v>
      </c>
      <c r="L103" s="6">
        <f t="shared" si="4"/>
        <v>5.5118110236220472E-2</v>
      </c>
      <c r="M103" t="s">
        <v>252</v>
      </c>
      <c r="N103">
        <v>76</v>
      </c>
      <c r="O103">
        <v>11541</v>
      </c>
      <c r="P103">
        <v>78</v>
      </c>
      <c r="R103">
        <v>92</v>
      </c>
      <c r="S103" s="3">
        <f t="shared" si="5"/>
        <v>14</v>
      </c>
      <c r="T103">
        <v>1</v>
      </c>
      <c r="U103">
        <v>98</v>
      </c>
      <c r="V103">
        <v>54</v>
      </c>
      <c r="W103" t="s">
        <v>38</v>
      </c>
      <c r="X103" t="s">
        <v>34</v>
      </c>
      <c r="Y103">
        <v>41</v>
      </c>
      <c r="Z103">
        <v>21</v>
      </c>
      <c r="AA103">
        <v>18</v>
      </c>
      <c r="AB103">
        <v>30</v>
      </c>
      <c r="AC103">
        <v>105030</v>
      </c>
    </row>
    <row r="104" spans="1:29" x14ac:dyDescent="0.35">
      <c r="A104" t="s">
        <v>253</v>
      </c>
      <c r="B104" t="s">
        <v>29</v>
      </c>
      <c r="C104" t="s">
        <v>48</v>
      </c>
      <c r="D104" s="4">
        <v>45331</v>
      </c>
      <c r="E104" s="4">
        <v>45358</v>
      </c>
      <c r="F104" s="5">
        <f t="shared" si="3"/>
        <v>27</v>
      </c>
      <c r="G104">
        <v>21120</v>
      </c>
      <c r="H104" t="s">
        <v>44</v>
      </c>
      <c r="I104">
        <v>63</v>
      </c>
      <c r="J104">
        <v>13</v>
      </c>
      <c r="K104">
        <v>3</v>
      </c>
      <c r="L104" s="6">
        <f t="shared" si="4"/>
        <v>4.7619047619047616E-2</v>
      </c>
      <c r="M104" t="s">
        <v>254</v>
      </c>
      <c r="N104">
        <v>76</v>
      </c>
      <c r="O104">
        <v>17067</v>
      </c>
      <c r="P104">
        <v>83</v>
      </c>
      <c r="R104">
        <v>100</v>
      </c>
      <c r="S104" s="3">
        <f t="shared" si="5"/>
        <v>17</v>
      </c>
      <c r="T104">
        <v>2</v>
      </c>
      <c r="U104">
        <v>98</v>
      </c>
      <c r="V104">
        <v>79</v>
      </c>
      <c r="W104" t="s">
        <v>38</v>
      </c>
      <c r="X104" t="s">
        <v>34</v>
      </c>
      <c r="Y104">
        <v>53</v>
      </c>
      <c r="Z104">
        <v>0</v>
      </c>
      <c r="AA104">
        <v>3</v>
      </c>
      <c r="AB104">
        <v>30</v>
      </c>
      <c r="AC104">
        <v>48560</v>
      </c>
    </row>
    <row r="105" spans="1:29" x14ac:dyDescent="0.35">
      <c r="A105" t="s">
        <v>255</v>
      </c>
      <c r="B105" t="s">
        <v>58</v>
      </c>
      <c r="C105" t="s">
        <v>63</v>
      </c>
      <c r="D105" s="4">
        <v>45638</v>
      </c>
      <c r="E105" s="4">
        <v>45654</v>
      </c>
      <c r="F105" s="5">
        <f t="shared" si="3"/>
        <v>16</v>
      </c>
      <c r="G105">
        <v>31098</v>
      </c>
      <c r="H105" t="s">
        <v>41</v>
      </c>
      <c r="I105">
        <v>164</v>
      </c>
      <c r="J105">
        <v>6</v>
      </c>
      <c r="K105">
        <v>4</v>
      </c>
      <c r="L105" s="6">
        <f t="shared" si="4"/>
        <v>2.4390243902439025E-2</v>
      </c>
      <c r="M105" t="s">
        <v>256</v>
      </c>
      <c r="N105">
        <v>27</v>
      </c>
      <c r="O105">
        <v>20766</v>
      </c>
      <c r="P105">
        <v>85</v>
      </c>
      <c r="R105">
        <v>100</v>
      </c>
      <c r="S105" s="3">
        <f t="shared" si="5"/>
        <v>15</v>
      </c>
      <c r="T105">
        <v>4</v>
      </c>
      <c r="U105">
        <v>93</v>
      </c>
      <c r="V105">
        <v>70</v>
      </c>
      <c r="W105" t="s">
        <v>33</v>
      </c>
      <c r="X105" t="s">
        <v>34</v>
      </c>
      <c r="Y105">
        <v>23</v>
      </c>
      <c r="Z105">
        <v>22</v>
      </c>
      <c r="AA105">
        <v>17</v>
      </c>
      <c r="AB105">
        <v>30</v>
      </c>
      <c r="AC105">
        <v>67021</v>
      </c>
    </row>
    <row r="106" spans="1:29" x14ac:dyDescent="0.35">
      <c r="A106" t="s">
        <v>257</v>
      </c>
      <c r="B106" t="s">
        <v>40</v>
      </c>
      <c r="C106" t="s">
        <v>48</v>
      </c>
      <c r="D106" s="4">
        <v>45447</v>
      </c>
      <c r="E106" s="4">
        <v>45503</v>
      </c>
      <c r="F106" s="5">
        <f t="shared" si="3"/>
        <v>56</v>
      </c>
      <c r="G106">
        <v>47917</v>
      </c>
      <c r="H106" t="s">
        <v>55</v>
      </c>
      <c r="I106">
        <v>179</v>
      </c>
      <c r="J106">
        <v>13</v>
      </c>
      <c r="K106">
        <v>9</v>
      </c>
      <c r="L106" s="6">
        <f t="shared" si="4"/>
        <v>5.027932960893855E-2</v>
      </c>
      <c r="M106" t="s">
        <v>258</v>
      </c>
      <c r="N106">
        <v>25</v>
      </c>
      <c r="O106">
        <v>19577</v>
      </c>
      <c r="P106">
        <v>59</v>
      </c>
      <c r="R106">
        <v>87</v>
      </c>
      <c r="S106" s="3">
        <f t="shared" si="5"/>
        <v>28</v>
      </c>
      <c r="T106">
        <v>4</v>
      </c>
      <c r="U106">
        <v>88</v>
      </c>
      <c r="V106">
        <v>54</v>
      </c>
      <c r="W106" t="s">
        <v>38</v>
      </c>
      <c r="X106" t="s">
        <v>46</v>
      </c>
      <c r="Y106">
        <v>54</v>
      </c>
      <c r="Z106">
        <v>4</v>
      </c>
      <c r="AA106">
        <v>5</v>
      </c>
      <c r="AB106">
        <v>30</v>
      </c>
      <c r="AC106">
        <v>66314</v>
      </c>
    </row>
    <row r="107" spans="1:29" x14ac:dyDescent="0.35">
      <c r="A107" t="s">
        <v>259</v>
      </c>
      <c r="B107" t="s">
        <v>58</v>
      </c>
      <c r="C107" t="s">
        <v>89</v>
      </c>
      <c r="D107" s="4">
        <v>45334</v>
      </c>
      <c r="E107" s="4">
        <v>45347</v>
      </c>
      <c r="F107" s="5">
        <f t="shared" si="3"/>
        <v>13</v>
      </c>
      <c r="G107">
        <v>17819</v>
      </c>
      <c r="H107" t="s">
        <v>31</v>
      </c>
      <c r="I107">
        <v>90</v>
      </c>
      <c r="J107">
        <v>8</v>
      </c>
      <c r="K107">
        <v>2</v>
      </c>
      <c r="L107" s="6">
        <f t="shared" si="4"/>
        <v>2.2222222222222223E-2</v>
      </c>
      <c r="M107" t="s">
        <v>260</v>
      </c>
      <c r="N107">
        <v>5</v>
      </c>
      <c r="O107">
        <v>27239</v>
      </c>
      <c r="P107">
        <v>75</v>
      </c>
      <c r="R107">
        <v>95</v>
      </c>
      <c r="S107" s="3">
        <f t="shared" si="5"/>
        <v>20</v>
      </c>
      <c r="T107">
        <v>3</v>
      </c>
      <c r="U107">
        <v>97</v>
      </c>
      <c r="V107">
        <v>60</v>
      </c>
      <c r="W107" t="s">
        <v>33</v>
      </c>
      <c r="X107" t="s">
        <v>34</v>
      </c>
      <c r="Y107">
        <v>39</v>
      </c>
      <c r="Z107">
        <v>0</v>
      </c>
      <c r="AA107">
        <v>1</v>
      </c>
      <c r="AB107">
        <v>30</v>
      </c>
      <c r="AC107">
        <v>67145</v>
      </c>
    </row>
    <row r="108" spans="1:29" x14ac:dyDescent="0.35">
      <c r="A108" t="s">
        <v>261</v>
      </c>
      <c r="B108" t="s">
        <v>70</v>
      </c>
      <c r="C108" t="s">
        <v>63</v>
      </c>
      <c r="D108" s="4">
        <v>45556</v>
      </c>
      <c r="E108" s="4">
        <v>45611</v>
      </c>
      <c r="F108" s="5">
        <f t="shared" si="3"/>
        <v>55</v>
      </c>
      <c r="G108">
        <v>27917</v>
      </c>
      <c r="H108" t="s">
        <v>31</v>
      </c>
      <c r="I108">
        <v>188</v>
      </c>
      <c r="J108">
        <v>14</v>
      </c>
      <c r="K108">
        <v>13</v>
      </c>
      <c r="L108" s="6">
        <f t="shared" si="4"/>
        <v>6.9148936170212769E-2</v>
      </c>
      <c r="M108" t="s">
        <v>262</v>
      </c>
      <c r="N108">
        <v>32</v>
      </c>
      <c r="O108">
        <v>23120</v>
      </c>
      <c r="P108">
        <v>49</v>
      </c>
      <c r="R108">
        <v>69</v>
      </c>
      <c r="S108" s="3">
        <f t="shared" si="5"/>
        <v>20</v>
      </c>
      <c r="T108">
        <v>5</v>
      </c>
      <c r="U108">
        <v>75</v>
      </c>
      <c r="V108">
        <v>52</v>
      </c>
      <c r="W108" t="s">
        <v>38</v>
      </c>
      <c r="X108" t="s">
        <v>46</v>
      </c>
      <c r="Y108">
        <v>28</v>
      </c>
      <c r="Z108">
        <v>9</v>
      </c>
      <c r="AA108">
        <v>8</v>
      </c>
      <c r="AB108">
        <v>30</v>
      </c>
      <c r="AC108">
        <v>102091</v>
      </c>
    </row>
    <row r="109" spans="1:29" x14ac:dyDescent="0.35">
      <c r="A109" t="s">
        <v>263</v>
      </c>
      <c r="B109" t="s">
        <v>70</v>
      </c>
      <c r="C109" t="s">
        <v>54</v>
      </c>
      <c r="D109" s="4">
        <v>45615</v>
      </c>
      <c r="E109" s="4">
        <v>45640</v>
      </c>
      <c r="F109" s="5">
        <f t="shared" si="3"/>
        <v>25</v>
      </c>
      <c r="G109">
        <v>34130</v>
      </c>
      <c r="H109" t="s">
        <v>41</v>
      </c>
      <c r="I109">
        <v>150</v>
      </c>
      <c r="J109">
        <v>18</v>
      </c>
      <c r="K109">
        <v>13</v>
      </c>
      <c r="L109" s="6">
        <f t="shared" si="4"/>
        <v>8.666666666666667E-2</v>
      </c>
      <c r="M109" t="s">
        <v>264</v>
      </c>
      <c r="N109">
        <v>2</v>
      </c>
      <c r="O109">
        <v>19209</v>
      </c>
      <c r="P109">
        <v>49</v>
      </c>
      <c r="R109">
        <v>65</v>
      </c>
      <c r="S109" s="3">
        <f t="shared" si="5"/>
        <v>16</v>
      </c>
      <c r="T109">
        <v>4</v>
      </c>
      <c r="U109">
        <v>77</v>
      </c>
      <c r="V109">
        <v>73</v>
      </c>
      <c r="W109" t="s">
        <v>33</v>
      </c>
      <c r="X109" t="s">
        <v>34</v>
      </c>
      <c r="Y109">
        <v>34</v>
      </c>
      <c r="Z109">
        <v>16</v>
      </c>
      <c r="AA109">
        <v>17</v>
      </c>
      <c r="AB109">
        <v>30</v>
      </c>
      <c r="AC109">
        <v>47214</v>
      </c>
    </row>
    <row r="110" spans="1:29" x14ac:dyDescent="0.35">
      <c r="A110" t="s">
        <v>265</v>
      </c>
      <c r="B110" t="s">
        <v>70</v>
      </c>
      <c r="C110" t="s">
        <v>63</v>
      </c>
      <c r="D110" s="4">
        <v>45563</v>
      </c>
      <c r="E110" s="4">
        <v>45608</v>
      </c>
      <c r="F110" s="5">
        <f t="shared" si="3"/>
        <v>45</v>
      </c>
      <c r="G110">
        <v>34455</v>
      </c>
      <c r="H110" t="s">
        <v>44</v>
      </c>
      <c r="I110">
        <v>149</v>
      </c>
      <c r="J110">
        <v>5</v>
      </c>
      <c r="K110">
        <v>1</v>
      </c>
      <c r="L110" s="6">
        <f t="shared" si="4"/>
        <v>6.7114093959731542E-3</v>
      </c>
      <c r="M110" t="s">
        <v>266</v>
      </c>
      <c r="N110">
        <v>63</v>
      </c>
      <c r="O110">
        <v>22830</v>
      </c>
      <c r="P110">
        <v>81</v>
      </c>
      <c r="R110">
        <v>100</v>
      </c>
      <c r="S110" s="3">
        <f t="shared" si="5"/>
        <v>19</v>
      </c>
      <c r="T110">
        <v>4</v>
      </c>
      <c r="U110">
        <v>92</v>
      </c>
      <c r="V110">
        <v>69</v>
      </c>
      <c r="W110" t="s">
        <v>38</v>
      </c>
      <c r="X110" t="s">
        <v>46</v>
      </c>
      <c r="Y110">
        <v>52</v>
      </c>
      <c r="Z110">
        <v>15</v>
      </c>
      <c r="AA110">
        <v>25</v>
      </c>
      <c r="AB110">
        <v>30</v>
      </c>
      <c r="AC110">
        <v>97269</v>
      </c>
    </row>
    <row r="111" spans="1:29" x14ac:dyDescent="0.35">
      <c r="A111" t="s">
        <v>267</v>
      </c>
      <c r="B111" t="s">
        <v>80</v>
      </c>
      <c r="C111" t="s">
        <v>63</v>
      </c>
      <c r="D111" s="4">
        <v>45484</v>
      </c>
      <c r="E111" s="4">
        <v>45536</v>
      </c>
      <c r="F111" s="5">
        <f t="shared" si="3"/>
        <v>52</v>
      </c>
      <c r="G111">
        <v>32352</v>
      </c>
      <c r="H111" t="s">
        <v>55</v>
      </c>
      <c r="I111">
        <v>128</v>
      </c>
      <c r="J111">
        <v>13</v>
      </c>
      <c r="K111">
        <v>10</v>
      </c>
      <c r="L111" s="6">
        <f t="shared" si="4"/>
        <v>7.8125E-2</v>
      </c>
      <c r="M111" t="s">
        <v>268</v>
      </c>
      <c r="N111">
        <v>21</v>
      </c>
      <c r="O111">
        <v>18983</v>
      </c>
      <c r="P111">
        <v>54</v>
      </c>
      <c r="R111">
        <v>83</v>
      </c>
      <c r="S111" s="3">
        <f t="shared" si="5"/>
        <v>29</v>
      </c>
      <c r="T111">
        <v>5</v>
      </c>
      <c r="U111">
        <v>93</v>
      </c>
      <c r="V111">
        <v>98</v>
      </c>
      <c r="W111" t="s">
        <v>38</v>
      </c>
      <c r="X111" t="s">
        <v>46</v>
      </c>
      <c r="Y111">
        <v>25</v>
      </c>
      <c r="Z111">
        <v>25</v>
      </c>
      <c r="AA111">
        <v>22</v>
      </c>
      <c r="AB111">
        <v>30</v>
      </c>
      <c r="AC111">
        <v>28886</v>
      </c>
    </row>
    <row r="112" spans="1:29" x14ac:dyDescent="0.35">
      <c r="A112" t="s">
        <v>269</v>
      </c>
      <c r="B112" t="s">
        <v>75</v>
      </c>
      <c r="C112" t="s">
        <v>63</v>
      </c>
      <c r="D112" s="4">
        <v>45517</v>
      </c>
      <c r="E112" s="4">
        <v>45561</v>
      </c>
      <c r="F112" s="5">
        <f t="shared" si="3"/>
        <v>44</v>
      </c>
      <c r="G112">
        <v>12501</v>
      </c>
      <c r="H112" t="s">
        <v>44</v>
      </c>
      <c r="I112">
        <v>146</v>
      </c>
      <c r="J112">
        <v>3</v>
      </c>
      <c r="K112">
        <v>2</v>
      </c>
      <c r="L112" s="6">
        <f t="shared" si="4"/>
        <v>1.3698630136986301E-2</v>
      </c>
      <c r="M112" t="s">
        <v>270</v>
      </c>
      <c r="N112">
        <v>53</v>
      </c>
      <c r="O112">
        <v>24769</v>
      </c>
      <c r="P112">
        <v>64</v>
      </c>
      <c r="R112">
        <v>92</v>
      </c>
      <c r="S112" s="3">
        <f t="shared" si="5"/>
        <v>28</v>
      </c>
      <c r="T112">
        <v>3</v>
      </c>
      <c r="U112">
        <v>100</v>
      </c>
      <c r="V112">
        <v>55</v>
      </c>
      <c r="W112" t="s">
        <v>33</v>
      </c>
      <c r="X112" t="s">
        <v>34</v>
      </c>
      <c r="Y112">
        <v>46</v>
      </c>
      <c r="Z112">
        <v>23</v>
      </c>
      <c r="AA112">
        <v>17</v>
      </c>
      <c r="AB112">
        <v>30</v>
      </c>
      <c r="AC112">
        <v>80508</v>
      </c>
    </row>
    <row r="113" spans="1:29" x14ac:dyDescent="0.35">
      <c r="A113" t="s">
        <v>271</v>
      </c>
      <c r="B113" t="s">
        <v>80</v>
      </c>
      <c r="C113" t="s">
        <v>48</v>
      </c>
      <c r="D113" s="4">
        <v>45382</v>
      </c>
      <c r="E113" s="4">
        <v>45428</v>
      </c>
      <c r="F113" s="5">
        <f t="shared" si="3"/>
        <v>46</v>
      </c>
      <c r="G113">
        <v>23314</v>
      </c>
      <c r="H113" t="s">
        <v>44</v>
      </c>
      <c r="I113">
        <v>29</v>
      </c>
      <c r="J113">
        <v>4</v>
      </c>
      <c r="K113">
        <v>2</v>
      </c>
      <c r="L113" s="6">
        <f t="shared" si="4"/>
        <v>6.8965517241379309E-2</v>
      </c>
      <c r="M113" t="s">
        <v>272</v>
      </c>
      <c r="N113">
        <v>4</v>
      </c>
      <c r="O113">
        <v>1769</v>
      </c>
      <c r="P113">
        <v>77</v>
      </c>
      <c r="R113">
        <v>100</v>
      </c>
      <c r="S113" s="3">
        <f t="shared" si="5"/>
        <v>23</v>
      </c>
      <c r="T113">
        <v>2</v>
      </c>
      <c r="U113">
        <v>90</v>
      </c>
      <c r="V113">
        <v>50</v>
      </c>
      <c r="W113" t="s">
        <v>33</v>
      </c>
      <c r="X113" t="s">
        <v>46</v>
      </c>
      <c r="Y113">
        <v>23</v>
      </c>
      <c r="Z113">
        <v>19</v>
      </c>
      <c r="AA113">
        <v>3</v>
      </c>
      <c r="AB113">
        <v>30</v>
      </c>
      <c r="AC113">
        <v>94117</v>
      </c>
    </row>
    <row r="114" spans="1:29" x14ac:dyDescent="0.35">
      <c r="A114" t="s">
        <v>273</v>
      </c>
      <c r="B114" t="s">
        <v>40</v>
      </c>
      <c r="C114" t="s">
        <v>89</v>
      </c>
      <c r="D114" s="4">
        <v>45490</v>
      </c>
      <c r="E114" s="4">
        <v>45542</v>
      </c>
      <c r="F114" s="5">
        <f t="shared" si="3"/>
        <v>52</v>
      </c>
      <c r="G114">
        <v>15870</v>
      </c>
      <c r="H114" t="s">
        <v>41</v>
      </c>
      <c r="I114">
        <v>125</v>
      </c>
      <c r="J114">
        <v>11</v>
      </c>
      <c r="K114">
        <v>7</v>
      </c>
      <c r="L114" s="6">
        <f t="shared" si="4"/>
        <v>5.6000000000000001E-2</v>
      </c>
      <c r="M114" t="s">
        <v>274</v>
      </c>
      <c r="N114">
        <v>37</v>
      </c>
      <c r="O114">
        <v>11821</v>
      </c>
      <c r="P114">
        <v>54</v>
      </c>
      <c r="R114">
        <v>78</v>
      </c>
      <c r="S114" s="3">
        <f t="shared" si="5"/>
        <v>24</v>
      </c>
      <c r="T114">
        <v>5</v>
      </c>
      <c r="U114">
        <v>82</v>
      </c>
      <c r="V114">
        <v>82</v>
      </c>
      <c r="W114" t="s">
        <v>38</v>
      </c>
      <c r="X114" t="s">
        <v>46</v>
      </c>
      <c r="Y114">
        <v>39</v>
      </c>
      <c r="Z114">
        <v>24</v>
      </c>
      <c r="AA114">
        <v>0</v>
      </c>
      <c r="AB114">
        <v>30</v>
      </c>
      <c r="AC114">
        <v>58998</v>
      </c>
    </row>
    <row r="115" spans="1:29" x14ac:dyDescent="0.35">
      <c r="A115" t="s">
        <v>275</v>
      </c>
      <c r="B115" t="s">
        <v>58</v>
      </c>
      <c r="C115" t="s">
        <v>48</v>
      </c>
      <c r="D115" s="4">
        <v>45309</v>
      </c>
      <c r="E115" s="4">
        <v>45357</v>
      </c>
      <c r="F115" s="5">
        <f t="shared" si="3"/>
        <v>48</v>
      </c>
      <c r="G115">
        <v>8450</v>
      </c>
      <c r="H115" t="s">
        <v>36</v>
      </c>
      <c r="I115">
        <v>185</v>
      </c>
      <c r="J115">
        <v>5</v>
      </c>
      <c r="K115">
        <v>5</v>
      </c>
      <c r="L115" s="6">
        <f t="shared" si="4"/>
        <v>2.7027027027027029E-2</v>
      </c>
      <c r="M115" t="s">
        <v>276</v>
      </c>
      <c r="N115">
        <v>17</v>
      </c>
      <c r="O115">
        <v>13506</v>
      </c>
      <c r="P115">
        <v>54</v>
      </c>
      <c r="R115">
        <v>64</v>
      </c>
      <c r="S115" s="3">
        <f t="shared" si="5"/>
        <v>10</v>
      </c>
      <c r="T115">
        <v>2</v>
      </c>
      <c r="U115">
        <v>99</v>
      </c>
      <c r="V115">
        <v>100</v>
      </c>
      <c r="W115" t="s">
        <v>38</v>
      </c>
      <c r="X115" t="s">
        <v>34</v>
      </c>
      <c r="Y115">
        <v>55</v>
      </c>
      <c r="Z115">
        <v>21</v>
      </c>
      <c r="AA115">
        <v>19</v>
      </c>
      <c r="AB115">
        <v>30</v>
      </c>
      <c r="AC115">
        <v>87741</v>
      </c>
    </row>
    <row r="116" spans="1:29" x14ac:dyDescent="0.35">
      <c r="A116" t="s">
        <v>277</v>
      </c>
      <c r="B116" t="s">
        <v>75</v>
      </c>
      <c r="C116" t="s">
        <v>54</v>
      </c>
      <c r="D116" s="4">
        <v>45587</v>
      </c>
      <c r="E116" s="4">
        <v>45610</v>
      </c>
      <c r="F116" s="5">
        <f t="shared" si="3"/>
        <v>23</v>
      </c>
      <c r="G116">
        <v>45784</v>
      </c>
      <c r="H116" t="s">
        <v>31</v>
      </c>
      <c r="I116">
        <v>64</v>
      </c>
      <c r="J116">
        <v>11</v>
      </c>
      <c r="K116">
        <v>3</v>
      </c>
      <c r="L116" s="6">
        <f t="shared" si="4"/>
        <v>4.6875E-2</v>
      </c>
      <c r="M116" t="s">
        <v>278</v>
      </c>
      <c r="N116">
        <v>19</v>
      </c>
      <c r="O116">
        <v>13952</v>
      </c>
      <c r="P116">
        <v>44</v>
      </c>
      <c r="R116">
        <v>51</v>
      </c>
      <c r="S116" s="3">
        <f t="shared" si="5"/>
        <v>7</v>
      </c>
      <c r="T116">
        <v>5</v>
      </c>
      <c r="U116">
        <v>100</v>
      </c>
      <c r="V116">
        <v>52</v>
      </c>
      <c r="W116" t="s">
        <v>38</v>
      </c>
      <c r="X116" t="s">
        <v>34</v>
      </c>
      <c r="Y116">
        <v>54</v>
      </c>
      <c r="Z116">
        <v>0</v>
      </c>
      <c r="AA116">
        <v>2</v>
      </c>
      <c r="AB116">
        <v>30</v>
      </c>
      <c r="AC116">
        <v>106632</v>
      </c>
    </row>
    <row r="117" spans="1:29" x14ac:dyDescent="0.35">
      <c r="A117" t="s">
        <v>279</v>
      </c>
      <c r="B117" t="s">
        <v>29</v>
      </c>
      <c r="C117" t="s">
        <v>48</v>
      </c>
      <c r="D117" s="4">
        <v>45480</v>
      </c>
      <c r="E117" s="4">
        <v>45498</v>
      </c>
      <c r="F117" s="5">
        <f t="shared" si="3"/>
        <v>18</v>
      </c>
      <c r="G117">
        <v>44825</v>
      </c>
      <c r="H117" t="s">
        <v>55</v>
      </c>
      <c r="I117">
        <v>180</v>
      </c>
      <c r="J117">
        <v>3</v>
      </c>
      <c r="K117">
        <v>3</v>
      </c>
      <c r="L117" s="6">
        <f t="shared" si="4"/>
        <v>1.6666666666666666E-2</v>
      </c>
      <c r="M117" t="s">
        <v>280</v>
      </c>
      <c r="N117">
        <v>34</v>
      </c>
      <c r="O117">
        <v>14595</v>
      </c>
      <c r="P117">
        <v>77</v>
      </c>
      <c r="R117">
        <v>86</v>
      </c>
      <c r="S117" s="3">
        <f t="shared" si="5"/>
        <v>9</v>
      </c>
      <c r="T117">
        <v>2</v>
      </c>
      <c r="U117">
        <v>90</v>
      </c>
      <c r="V117">
        <v>56</v>
      </c>
      <c r="W117" t="s">
        <v>38</v>
      </c>
      <c r="X117" t="s">
        <v>46</v>
      </c>
      <c r="Y117">
        <v>54</v>
      </c>
      <c r="Z117">
        <v>3</v>
      </c>
      <c r="AA117">
        <v>5</v>
      </c>
      <c r="AB117">
        <v>30</v>
      </c>
      <c r="AC117">
        <v>108705</v>
      </c>
    </row>
    <row r="118" spans="1:29" x14ac:dyDescent="0.35">
      <c r="A118" t="s">
        <v>281</v>
      </c>
      <c r="B118" t="s">
        <v>58</v>
      </c>
      <c r="C118" t="s">
        <v>51</v>
      </c>
      <c r="D118" s="4">
        <v>45528</v>
      </c>
      <c r="E118" s="4">
        <v>45539</v>
      </c>
      <c r="F118" s="5">
        <f t="shared" si="3"/>
        <v>11</v>
      </c>
      <c r="G118">
        <v>48482</v>
      </c>
      <c r="H118" t="s">
        <v>36</v>
      </c>
      <c r="I118">
        <v>199</v>
      </c>
      <c r="J118">
        <v>4</v>
      </c>
      <c r="K118">
        <v>2</v>
      </c>
      <c r="L118" s="6">
        <f t="shared" si="4"/>
        <v>1.0050251256281407E-2</v>
      </c>
      <c r="M118" t="s">
        <v>282</v>
      </c>
      <c r="N118">
        <v>52</v>
      </c>
      <c r="O118">
        <v>18939</v>
      </c>
      <c r="P118">
        <v>82</v>
      </c>
      <c r="R118">
        <v>100</v>
      </c>
      <c r="S118" s="3">
        <f t="shared" si="5"/>
        <v>18</v>
      </c>
      <c r="T118">
        <v>3</v>
      </c>
      <c r="U118">
        <v>78</v>
      </c>
      <c r="V118">
        <v>66</v>
      </c>
      <c r="W118" t="s">
        <v>38</v>
      </c>
      <c r="X118" t="s">
        <v>34</v>
      </c>
      <c r="Y118">
        <v>34</v>
      </c>
      <c r="Z118">
        <v>17</v>
      </c>
      <c r="AA118">
        <v>21</v>
      </c>
      <c r="AB118">
        <v>30</v>
      </c>
      <c r="AC118">
        <v>26203</v>
      </c>
    </row>
    <row r="119" spans="1:29" x14ac:dyDescent="0.35">
      <c r="A119" t="s">
        <v>283</v>
      </c>
      <c r="B119" t="s">
        <v>58</v>
      </c>
      <c r="C119" t="s">
        <v>54</v>
      </c>
      <c r="D119" s="4">
        <v>45768</v>
      </c>
      <c r="E119" s="4">
        <v>45776</v>
      </c>
      <c r="F119" s="5">
        <f t="shared" si="3"/>
        <v>8</v>
      </c>
      <c r="G119">
        <v>14675</v>
      </c>
      <c r="H119" t="s">
        <v>55</v>
      </c>
      <c r="I119">
        <v>93</v>
      </c>
      <c r="J119">
        <v>12</v>
      </c>
      <c r="K119">
        <v>4</v>
      </c>
      <c r="L119" s="6">
        <f t="shared" si="4"/>
        <v>4.3010752688172046E-2</v>
      </c>
      <c r="M119" t="s">
        <v>284</v>
      </c>
      <c r="N119">
        <v>22</v>
      </c>
      <c r="O119">
        <v>11947</v>
      </c>
      <c r="P119">
        <v>43</v>
      </c>
      <c r="R119">
        <v>55</v>
      </c>
      <c r="S119" s="3">
        <f t="shared" si="5"/>
        <v>12</v>
      </c>
      <c r="T119">
        <v>3</v>
      </c>
      <c r="U119">
        <v>95</v>
      </c>
      <c r="V119">
        <v>96</v>
      </c>
      <c r="W119" t="s">
        <v>38</v>
      </c>
      <c r="X119" t="s">
        <v>34</v>
      </c>
      <c r="Y119">
        <v>31</v>
      </c>
      <c r="Z119">
        <v>6</v>
      </c>
      <c r="AA119">
        <v>10</v>
      </c>
      <c r="AB119">
        <v>30</v>
      </c>
      <c r="AC119">
        <v>95581</v>
      </c>
    </row>
    <row r="120" spans="1:29" x14ac:dyDescent="0.35">
      <c r="A120" t="s">
        <v>285</v>
      </c>
      <c r="B120" t="s">
        <v>70</v>
      </c>
      <c r="C120" t="s">
        <v>51</v>
      </c>
      <c r="D120" s="4">
        <v>45725</v>
      </c>
      <c r="E120" s="4">
        <v>45735</v>
      </c>
      <c r="F120" s="5">
        <f t="shared" si="3"/>
        <v>10</v>
      </c>
      <c r="G120">
        <v>29741</v>
      </c>
      <c r="H120" t="s">
        <v>55</v>
      </c>
      <c r="I120">
        <v>150</v>
      </c>
      <c r="J120">
        <v>10</v>
      </c>
      <c r="K120">
        <v>9</v>
      </c>
      <c r="L120" s="6">
        <f t="shared" si="4"/>
        <v>0.06</v>
      </c>
      <c r="M120" t="s">
        <v>286</v>
      </c>
      <c r="N120">
        <v>2</v>
      </c>
      <c r="O120">
        <v>23473</v>
      </c>
      <c r="P120">
        <v>67</v>
      </c>
      <c r="R120">
        <v>95</v>
      </c>
      <c r="S120" s="3">
        <f t="shared" si="5"/>
        <v>28</v>
      </c>
      <c r="T120">
        <v>4</v>
      </c>
      <c r="U120">
        <v>92</v>
      </c>
      <c r="V120">
        <v>73</v>
      </c>
      <c r="W120" t="s">
        <v>38</v>
      </c>
      <c r="X120" t="s">
        <v>46</v>
      </c>
      <c r="Y120">
        <v>36</v>
      </c>
      <c r="Z120">
        <v>11</v>
      </c>
      <c r="AA120">
        <v>21</v>
      </c>
      <c r="AB120">
        <v>30</v>
      </c>
      <c r="AC120">
        <v>78121</v>
      </c>
    </row>
    <row r="121" spans="1:29" x14ac:dyDescent="0.35">
      <c r="A121" t="s">
        <v>287</v>
      </c>
      <c r="B121" t="s">
        <v>70</v>
      </c>
      <c r="C121" t="s">
        <v>63</v>
      </c>
      <c r="D121" s="4">
        <v>45297</v>
      </c>
      <c r="E121" s="4">
        <v>45328</v>
      </c>
      <c r="F121" s="5">
        <f t="shared" si="3"/>
        <v>31</v>
      </c>
      <c r="G121">
        <v>37956</v>
      </c>
      <c r="H121" t="s">
        <v>44</v>
      </c>
      <c r="I121">
        <v>27</v>
      </c>
      <c r="J121">
        <v>17</v>
      </c>
      <c r="K121">
        <v>11</v>
      </c>
      <c r="L121" s="6">
        <f t="shared" si="4"/>
        <v>0.40740740740740738</v>
      </c>
      <c r="M121" t="s">
        <v>288</v>
      </c>
      <c r="N121">
        <v>47</v>
      </c>
      <c r="O121">
        <v>4482</v>
      </c>
      <c r="P121">
        <v>69</v>
      </c>
      <c r="R121">
        <v>96</v>
      </c>
      <c r="S121" s="3">
        <f t="shared" si="5"/>
        <v>27</v>
      </c>
      <c r="T121">
        <v>3</v>
      </c>
      <c r="U121">
        <v>92</v>
      </c>
      <c r="V121">
        <v>53</v>
      </c>
      <c r="W121" t="s">
        <v>38</v>
      </c>
      <c r="X121" t="s">
        <v>34</v>
      </c>
      <c r="Y121">
        <v>52</v>
      </c>
      <c r="Z121">
        <v>5</v>
      </c>
      <c r="AA121">
        <v>17</v>
      </c>
      <c r="AB121">
        <v>30</v>
      </c>
      <c r="AC121">
        <v>35287</v>
      </c>
    </row>
    <row r="122" spans="1:29" x14ac:dyDescent="0.35">
      <c r="A122" t="s">
        <v>289</v>
      </c>
      <c r="B122" t="s">
        <v>80</v>
      </c>
      <c r="C122" t="s">
        <v>63</v>
      </c>
      <c r="D122" s="4">
        <v>45423</v>
      </c>
      <c r="E122" s="4">
        <v>45472</v>
      </c>
      <c r="F122" s="5">
        <f t="shared" si="3"/>
        <v>49</v>
      </c>
      <c r="G122">
        <v>40810</v>
      </c>
      <c r="H122" t="s">
        <v>41</v>
      </c>
      <c r="I122">
        <v>60</v>
      </c>
      <c r="J122">
        <v>2</v>
      </c>
      <c r="K122">
        <v>1</v>
      </c>
      <c r="L122" s="6">
        <f t="shared" si="4"/>
        <v>1.6666666666666666E-2</v>
      </c>
      <c r="M122" t="s">
        <v>290</v>
      </c>
      <c r="N122">
        <v>79</v>
      </c>
      <c r="O122">
        <v>15894</v>
      </c>
      <c r="P122">
        <v>85</v>
      </c>
      <c r="R122">
        <v>96</v>
      </c>
      <c r="S122" s="3">
        <f t="shared" si="5"/>
        <v>11</v>
      </c>
      <c r="T122">
        <v>1</v>
      </c>
      <c r="U122">
        <v>95</v>
      </c>
      <c r="V122">
        <v>68</v>
      </c>
      <c r="W122" t="s">
        <v>33</v>
      </c>
      <c r="X122" t="s">
        <v>34</v>
      </c>
      <c r="Y122">
        <v>50</v>
      </c>
      <c r="Z122">
        <v>7</v>
      </c>
      <c r="AA122">
        <v>16</v>
      </c>
      <c r="AB122">
        <v>30</v>
      </c>
      <c r="AC122">
        <v>86446</v>
      </c>
    </row>
    <row r="123" spans="1:29" x14ac:dyDescent="0.35">
      <c r="A123" t="s">
        <v>291</v>
      </c>
      <c r="B123" t="s">
        <v>58</v>
      </c>
      <c r="C123" t="s">
        <v>54</v>
      </c>
      <c r="D123" s="4">
        <v>45312</v>
      </c>
      <c r="E123" s="4">
        <v>45369</v>
      </c>
      <c r="F123" s="5">
        <f t="shared" si="3"/>
        <v>57</v>
      </c>
      <c r="G123">
        <v>34901</v>
      </c>
      <c r="H123" t="s">
        <v>41</v>
      </c>
      <c r="I123">
        <v>33</v>
      </c>
      <c r="J123">
        <v>7</v>
      </c>
      <c r="K123">
        <v>4</v>
      </c>
      <c r="L123" s="6">
        <f t="shared" si="4"/>
        <v>0.12121212121212122</v>
      </c>
      <c r="M123" t="s">
        <v>292</v>
      </c>
      <c r="N123">
        <v>19</v>
      </c>
      <c r="O123">
        <v>7296</v>
      </c>
      <c r="P123">
        <v>50</v>
      </c>
      <c r="R123">
        <v>73</v>
      </c>
      <c r="S123" s="3">
        <f t="shared" si="5"/>
        <v>23</v>
      </c>
      <c r="T123">
        <v>5</v>
      </c>
      <c r="U123">
        <v>79</v>
      </c>
      <c r="V123">
        <v>61</v>
      </c>
      <c r="W123" t="s">
        <v>38</v>
      </c>
      <c r="X123" t="s">
        <v>34</v>
      </c>
      <c r="Y123">
        <v>48</v>
      </c>
      <c r="Z123">
        <v>18</v>
      </c>
      <c r="AA123">
        <v>21</v>
      </c>
      <c r="AB123">
        <v>30</v>
      </c>
      <c r="AC123">
        <v>39482</v>
      </c>
    </row>
    <row r="124" spans="1:29" x14ac:dyDescent="0.35">
      <c r="A124" t="s">
        <v>293</v>
      </c>
      <c r="B124" t="s">
        <v>40</v>
      </c>
      <c r="C124" t="s">
        <v>54</v>
      </c>
      <c r="D124" s="4">
        <v>45487</v>
      </c>
      <c r="E124" s="4">
        <v>45541</v>
      </c>
      <c r="F124" s="5">
        <f t="shared" si="3"/>
        <v>54</v>
      </c>
      <c r="G124">
        <v>46212</v>
      </c>
      <c r="H124" t="s">
        <v>36</v>
      </c>
      <c r="I124">
        <v>64</v>
      </c>
      <c r="J124">
        <v>8</v>
      </c>
      <c r="K124">
        <v>2</v>
      </c>
      <c r="L124" s="6">
        <f t="shared" si="4"/>
        <v>3.125E-2</v>
      </c>
      <c r="M124" t="s">
        <v>294</v>
      </c>
      <c r="N124">
        <v>51</v>
      </c>
      <c r="O124">
        <v>1619</v>
      </c>
      <c r="P124">
        <v>68</v>
      </c>
      <c r="R124">
        <v>86</v>
      </c>
      <c r="S124" s="3">
        <f t="shared" si="5"/>
        <v>18</v>
      </c>
      <c r="T124">
        <v>5</v>
      </c>
      <c r="U124">
        <v>90</v>
      </c>
      <c r="V124">
        <v>100</v>
      </c>
      <c r="W124" t="s">
        <v>38</v>
      </c>
      <c r="X124" t="s">
        <v>34</v>
      </c>
      <c r="Y124">
        <v>60</v>
      </c>
      <c r="Z124">
        <v>9</v>
      </c>
      <c r="AA124">
        <v>21</v>
      </c>
      <c r="AB124">
        <v>30</v>
      </c>
      <c r="AC124">
        <v>109364</v>
      </c>
    </row>
    <row r="125" spans="1:29" x14ac:dyDescent="0.35">
      <c r="A125" t="s">
        <v>295</v>
      </c>
      <c r="B125" t="s">
        <v>58</v>
      </c>
      <c r="C125" t="s">
        <v>54</v>
      </c>
      <c r="D125" s="4">
        <v>45318</v>
      </c>
      <c r="E125" s="4">
        <v>45362</v>
      </c>
      <c r="F125" s="5">
        <f t="shared" si="3"/>
        <v>44</v>
      </c>
      <c r="G125">
        <v>10055</v>
      </c>
      <c r="H125" t="s">
        <v>41</v>
      </c>
      <c r="I125">
        <v>40</v>
      </c>
      <c r="J125">
        <v>17</v>
      </c>
      <c r="K125">
        <v>13</v>
      </c>
      <c r="L125" s="6">
        <f t="shared" si="4"/>
        <v>0.32500000000000001</v>
      </c>
      <c r="M125" t="s">
        <v>296</v>
      </c>
      <c r="N125">
        <v>17</v>
      </c>
      <c r="O125">
        <v>24264</v>
      </c>
      <c r="P125">
        <v>79</v>
      </c>
      <c r="R125">
        <v>100</v>
      </c>
      <c r="S125" s="3">
        <f t="shared" si="5"/>
        <v>21</v>
      </c>
      <c r="T125">
        <v>4</v>
      </c>
      <c r="U125">
        <v>76</v>
      </c>
      <c r="V125">
        <v>98</v>
      </c>
      <c r="W125" t="s">
        <v>33</v>
      </c>
      <c r="X125" t="s">
        <v>34</v>
      </c>
      <c r="Y125">
        <v>36</v>
      </c>
      <c r="Z125">
        <v>1</v>
      </c>
      <c r="AA125">
        <v>19</v>
      </c>
      <c r="AB125">
        <v>30</v>
      </c>
      <c r="AC125">
        <v>35710</v>
      </c>
    </row>
    <row r="126" spans="1:29" x14ac:dyDescent="0.35">
      <c r="A126" t="s">
        <v>297</v>
      </c>
      <c r="B126" t="s">
        <v>58</v>
      </c>
      <c r="C126" t="s">
        <v>30</v>
      </c>
      <c r="D126" s="4">
        <v>45536</v>
      </c>
      <c r="E126" s="4">
        <v>45575</v>
      </c>
      <c r="F126" s="5">
        <f t="shared" si="3"/>
        <v>39</v>
      </c>
      <c r="G126">
        <v>8643</v>
      </c>
      <c r="H126" t="s">
        <v>31</v>
      </c>
      <c r="I126">
        <v>189</v>
      </c>
      <c r="J126">
        <v>8</v>
      </c>
      <c r="K126">
        <v>2</v>
      </c>
      <c r="L126" s="6">
        <f t="shared" si="4"/>
        <v>1.0582010582010581E-2</v>
      </c>
      <c r="M126" t="s">
        <v>298</v>
      </c>
      <c r="N126">
        <v>51</v>
      </c>
      <c r="O126">
        <v>27772</v>
      </c>
      <c r="P126">
        <v>55</v>
      </c>
      <c r="R126">
        <v>70</v>
      </c>
      <c r="S126" s="3">
        <f t="shared" si="5"/>
        <v>15</v>
      </c>
      <c r="T126">
        <v>3</v>
      </c>
      <c r="U126">
        <v>76</v>
      </c>
      <c r="V126">
        <v>90</v>
      </c>
      <c r="W126" t="s">
        <v>38</v>
      </c>
      <c r="X126" t="s">
        <v>34</v>
      </c>
      <c r="Y126">
        <v>47</v>
      </c>
      <c r="Z126">
        <v>3</v>
      </c>
      <c r="AA126">
        <v>4</v>
      </c>
      <c r="AB126">
        <v>30</v>
      </c>
      <c r="AC126">
        <v>113977</v>
      </c>
    </row>
    <row r="127" spans="1:29" x14ac:dyDescent="0.35">
      <c r="A127" t="s">
        <v>299</v>
      </c>
      <c r="B127" t="s">
        <v>58</v>
      </c>
      <c r="C127" t="s">
        <v>30</v>
      </c>
      <c r="D127" s="4">
        <v>45299</v>
      </c>
      <c r="E127" s="4">
        <v>45306</v>
      </c>
      <c r="F127" s="5">
        <f t="shared" si="3"/>
        <v>7</v>
      </c>
      <c r="G127">
        <v>25664</v>
      </c>
      <c r="H127" t="s">
        <v>31</v>
      </c>
      <c r="I127">
        <v>89</v>
      </c>
      <c r="J127">
        <v>18</v>
      </c>
      <c r="K127">
        <v>5</v>
      </c>
      <c r="L127" s="6">
        <f t="shared" si="4"/>
        <v>5.6179775280898875E-2</v>
      </c>
      <c r="M127" t="s">
        <v>300</v>
      </c>
      <c r="N127">
        <v>57</v>
      </c>
      <c r="O127">
        <v>25668</v>
      </c>
      <c r="P127">
        <v>56</v>
      </c>
      <c r="R127">
        <v>77</v>
      </c>
      <c r="S127" s="3">
        <f t="shared" si="5"/>
        <v>21</v>
      </c>
      <c r="T127">
        <v>4</v>
      </c>
      <c r="U127">
        <v>83</v>
      </c>
      <c r="V127">
        <v>68</v>
      </c>
      <c r="W127" t="s">
        <v>38</v>
      </c>
      <c r="X127" t="s">
        <v>34</v>
      </c>
      <c r="Y127">
        <v>53</v>
      </c>
      <c r="Z127">
        <v>13</v>
      </c>
      <c r="AA127">
        <v>8</v>
      </c>
      <c r="AB127">
        <v>30</v>
      </c>
      <c r="AC127">
        <v>38258</v>
      </c>
    </row>
    <row r="128" spans="1:29" x14ac:dyDescent="0.35">
      <c r="A128" t="s">
        <v>301</v>
      </c>
      <c r="B128" t="s">
        <v>70</v>
      </c>
      <c r="C128" t="s">
        <v>89</v>
      </c>
      <c r="D128" s="4">
        <v>45769</v>
      </c>
      <c r="E128" s="4">
        <v>45781</v>
      </c>
      <c r="F128" s="5">
        <f t="shared" si="3"/>
        <v>12</v>
      </c>
      <c r="G128">
        <v>17749</v>
      </c>
      <c r="H128" t="s">
        <v>36</v>
      </c>
      <c r="I128">
        <v>141</v>
      </c>
      <c r="J128">
        <v>13</v>
      </c>
      <c r="K128">
        <v>8</v>
      </c>
      <c r="L128" s="6">
        <f t="shared" si="4"/>
        <v>5.6737588652482268E-2</v>
      </c>
      <c r="M128" t="s">
        <v>302</v>
      </c>
      <c r="N128">
        <v>10</v>
      </c>
      <c r="O128">
        <v>24185</v>
      </c>
      <c r="P128">
        <v>58</v>
      </c>
      <c r="R128">
        <v>72</v>
      </c>
      <c r="S128" s="3">
        <f t="shared" si="5"/>
        <v>14</v>
      </c>
      <c r="T128">
        <v>5</v>
      </c>
      <c r="U128">
        <v>99</v>
      </c>
      <c r="V128">
        <v>96</v>
      </c>
      <c r="W128" t="s">
        <v>33</v>
      </c>
      <c r="X128" t="s">
        <v>34</v>
      </c>
      <c r="Y128">
        <v>37</v>
      </c>
      <c r="Z128">
        <v>24</v>
      </c>
      <c r="AA128">
        <v>5</v>
      </c>
      <c r="AB128">
        <v>30</v>
      </c>
      <c r="AC128">
        <v>30735</v>
      </c>
    </row>
    <row r="129" spans="1:29" x14ac:dyDescent="0.35">
      <c r="A129" t="s">
        <v>303</v>
      </c>
      <c r="B129" t="s">
        <v>58</v>
      </c>
      <c r="C129" t="s">
        <v>54</v>
      </c>
      <c r="D129" s="4">
        <v>45350</v>
      </c>
      <c r="E129" s="4">
        <v>45388</v>
      </c>
      <c r="F129" s="5">
        <f t="shared" si="3"/>
        <v>38</v>
      </c>
      <c r="G129">
        <v>10031</v>
      </c>
      <c r="H129" t="s">
        <v>44</v>
      </c>
      <c r="I129">
        <v>24</v>
      </c>
      <c r="J129">
        <v>16</v>
      </c>
      <c r="K129">
        <v>12</v>
      </c>
      <c r="L129" s="6">
        <f t="shared" si="4"/>
        <v>0.5</v>
      </c>
      <c r="M129" t="s">
        <v>304</v>
      </c>
      <c r="N129">
        <v>48</v>
      </c>
      <c r="O129">
        <v>23227</v>
      </c>
      <c r="P129">
        <v>50</v>
      </c>
      <c r="R129">
        <v>77</v>
      </c>
      <c r="S129" s="3">
        <f t="shared" si="5"/>
        <v>27</v>
      </c>
      <c r="T129">
        <v>4</v>
      </c>
      <c r="U129">
        <v>94</v>
      </c>
      <c r="V129">
        <v>98</v>
      </c>
      <c r="W129" t="s">
        <v>38</v>
      </c>
      <c r="X129" t="s">
        <v>46</v>
      </c>
      <c r="Y129">
        <v>32</v>
      </c>
      <c r="Z129">
        <v>4</v>
      </c>
      <c r="AA129">
        <v>22</v>
      </c>
      <c r="AB129">
        <v>30</v>
      </c>
      <c r="AC129">
        <v>57194</v>
      </c>
    </row>
    <row r="130" spans="1:29" x14ac:dyDescent="0.35">
      <c r="A130" t="s">
        <v>305</v>
      </c>
      <c r="B130" t="s">
        <v>75</v>
      </c>
      <c r="C130" t="s">
        <v>54</v>
      </c>
      <c r="D130" s="4">
        <v>45762</v>
      </c>
      <c r="E130" s="4">
        <v>45821</v>
      </c>
      <c r="F130" s="5">
        <f t="shared" si="3"/>
        <v>59</v>
      </c>
      <c r="G130">
        <v>9370</v>
      </c>
      <c r="H130" t="s">
        <v>55</v>
      </c>
      <c r="I130">
        <v>30</v>
      </c>
      <c r="J130">
        <v>11</v>
      </c>
      <c r="K130">
        <v>1</v>
      </c>
      <c r="L130" s="6">
        <f t="shared" si="4"/>
        <v>3.3333333333333333E-2</v>
      </c>
      <c r="M130" t="s">
        <v>306</v>
      </c>
      <c r="N130">
        <v>33</v>
      </c>
      <c r="O130">
        <v>8030</v>
      </c>
      <c r="P130">
        <v>53</v>
      </c>
      <c r="R130">
        <v>76</v>
      </c>
      <c r="S130" s="3">
        <f t="shared" si="5"/>
        <v>23</v>
      </c>
      <c r="T130">
        <v>3</v>
      </c>
      <c r="U130">
        <v>88</v>
      </c>
      <c r="V130">
        <v>99</v>
      </c>
      <c r="W130" t="s">
        <v>33</v>
      </c>
      <c r="X130" t="s">
        <v>34</v>
      </c>
      <c r="Y130">
        <v>48</v>
      </c>
      <c r="Z130">
        <v>4</v>
      </c>
      <c r="AA130">
        <v>8</v>
      </c>
      <c r="AB130">
        <v>30</v>
      </c>
      <c r="AC130">
        <v>46225</v>
      </c>
    </row>
    <row r="131" spans="1:29" x14ac:dyDescent="0.35">
      <c r="A131" t="s">
        <v>307</v>
      </c>
      <c r="B131" t="s">
        <v>29</v>
      </c>
      <c r="C131" t="s">
        <v>51</v>
      </c>
      <c r="D131" s="4">
        <v>45632</v>
      </c>
      <c r="E131" s="4">
        <v>45673</v>
      </c>
      <c r="F131" s="5">
        <f t="shared" ref="F131:F194" si="6">E131-D131</f>
        <v>41</v>
      </c>
      <c r="G131">
        <v>42289</v>
      </c>
      <c r="H131" t="s">
        <v>41</v>
      </c>
      <c r="I131">
        <v>140</v>
      </c>
      <c r="J131">
        <v>6</v>
      </c>
      <c r="K131">
        <v>6</v>
      </c>
      <c r="L131" s="6">
        <f t="shared" ref="L131:L194" si="7">K131/I131</f>
        <v>4.2857142857142858E-2</v>
      </c>
      <c r="M131" t="s">
        <v>308</v>
      </c>
      <c r="N131">
        <v>56</v>
      </c>
      <c r="O131">
        <v>6727</v>
      </c>
      <c r="P131">
        <v>63</v>
      </c>
      <c r="R131">
        <v>63</v>
      </c>
      <c r="S131" s="3">
        <f t="shared" ref="S131:S194" si="8">R131-P131</f>
        <v>0</v>
      </c>
      <c r="T131">
        <v>5</v>
      </c>
      <c r="U131">
        <v>83</v>
      </c>
      <c r="V131">
        <v>84</v>
      </c>
      <c r="W131" t="s">
        <v>38</v>
      </c>
      <c r="X131" t="s">
        <v>46</v>
      </c>
      <c r="Y131">
        <v>26</v>
      </c>
      <c r="Z131">
        <v>21</v>
      </c>
      <c r="AA131">
        <v>18</v>
      </c>
      <c r="AB131">
        <v>30</v>
      </c>
      <c r="AC131">
        <v>100919</v>
      </c>
    </row>
    <row r="132" spans="1:29" x14ac:dyDescent="0.35">
      <c r="A132" t="s">
        <v>309</v>
      </c>
      <c r="B132" t="s">
        <v>75</v>
      </c>
      <c r="C132" t="s">
        <v>51</v>
      </c>
      <c r="D132" s="4">
        <v>45578</v>
      </c>
      <c r="E132" s="4">
        <v>45590</v>
      </c>
      <c r="F132" s="5">
        <f t="shared" si="6"/>
        <v>12</v>
      </c>
      <c r="G132">
        <v>27538</v>
      </c>
      <c r="H132" t="s">
        <v>31</v>
      </c>
      <c r="I132">
        <v>126</v>
      </c>
      <c r="J132">
        <v>1</v>
      </c>
      <c r="K132">
        <v>1</v>
      </c>
      <c r="L132" s="6">
        <f t="shared" si="7"/>
        <v>7.9365079365079361E-3</v>
      </c>
      <c r="M132" t="s">
        <v>310</v>
      </c>
      <c r="N132">
        <v>16</v>
      </c>
      <c r="O132">
        <v>12874</v>
      </c>
      <c r="P132">
        <v>44</v>
      </c>
      <c r="R132">
        <v>47</v>
      </c>
      <c r="S132" s="3">
        <f t="shared" si="8"/>
        <v>3</v>
      </c>
      <c r="T132">
        <v>2</v>
      </c>
      <c r="U132">
        <v>78</v>
      </c>
      <c r="V132">
        <v>67</v>
      </c>
      <c r="W132" t="s">
        <v>38</v>
      </c>
      <c r="X132" t="s">
        <v>34</v>
      </c>
      <c r="Y132">
        <v>22</v>
      </c>
      <c r="Z132">
        <v>20</v>
      </c>
      <c r="AA132">
        <v>22</v>
      </c>
      <c r="AB132">
        <v>30</v>
      </c>
      <c r="AC132">
        <v>64546</v>
      </c>
    </row>
    <row r="133" spans="1:29" x14ac:dyDescent="0.35">
      <c r="A133" t="s">
        <v>311</v>
      </c>
      <c r="B133" t="s">
        <v>40</v>
      </c>
      <c r="C133" t="s">
        <v>48</v>
      </c>
      <c r="D133" s="4">
        <v>45665</v>
      </c>
      <c r="E133" s="4">
        <v>45713</v>
      </c>
      <c r="F133" s="5">
        <f t="shared" si="6"/>
        <v>48</v>
      </c>
      <c r="G133">
        <v>46771</v>
      </c>
      <c r="H133" t="s">
        <v>41</v>
      </c>
      <c r="I133">
        <v>99</v>
      </c>
      <c r="J133">
        <v>5</v>
      </c>
      <c r="K133">
        <v>1</v>
      </c>
      <c r="L133" s="6">
        <f t="shared" si="7"/>
        <v>1.0101010101010102E-2</v>
      </c>
      <c r="M133" t="s">
        <v>312</v>
      </c>
      <c r="N133">
        <v>44</v>
      </c>
      <c r="O133">
        <v>10123</v>
      </c>
      <c r="P133">
        <v>58</v>
      </c>
      <c r="R133">
        <v>87</v>
      </c>
      <c r="S133" s="3">
        <f t="shared" si="8"/>
        <v>29</v>
      </c>
      <c r="T133">
        <v>4</v>
      </c>
      <c r="U133">
        <v>77</v>
      </c>
      <c r="V133">
        <v>67</v>
      </c>
      <c r="W133" t="s">
        <v>38</v>
      </c>
      <c r="X133" t="s">
        <v>46</v>
      </c>
      <c r="Y133">
        <v>58</v>
      </c>
      <c r="Z133">
        <v>22</v>
      </c>
      <c r="AA133">
        <v>17</v>
      </c>
      <c r="AB133">
        <v>30</v>
      </c>
      <c r="AC133">
        <v>111328</v>
      </c>
    </row>
    <row r="134" spans="1:29" x14ac:dyDescent="0.35">
      <c r="A134" t="s">
        <v>313</v>
      </c>
      <c r="B134" t="s">
        <v>29</v>
      </c>
      <c r="C134" t="s">
        <v>54</v>
      </c>
      <c r="D134" s="4">
        <v>45534</v>
      </c>
      <c r="E134" s="4">
        <v>45573</v>
      </c>
      <c r="F134" s="5">
        <f t="shared" si="6"/>
        <v>39</v>
      </c>
      <c r="G134">
        <v>7102</v>
      </c>
      <c r="H134" t="s">
        <v>31</v>
      </c>
      <c r="I134">
        <v>79</v>
      </c>
      <c r="J134">
        <v>14</v>
      </c>
      <c r="K134">
        <v>3</v>
      </c>
      <c r="L134" s="6">
        <f t="shared" si="7"/>
        <v>3.7974683544303799E-2</v>
      </c>
      <c r="M134" t="s">
        <v>314</v>
      </c>
      <c r="N134">
        <v>3</v>
      </c>
      <c r="O134">
        <v>19122</v>
      </c>
      <c r="P134">
        <v>46</v>
      </c>
      <c r="R134">
        <v>61</v>
      </c>
      <c r="S134" s="3">
        <f t="shared" si="8"/>
        <v>15</v>
      </c>
      <c r="T134">
        <v>1</v>
      </c>
      <c r="U134">
        <v>75</v>
      </c>
      <c r="V134">
        <v>72</v>
      </c>
      <c r="W134" t="s">
        <v>33</v>
      </c>
      <c r="X134" t="s">
        <v>46</v>
      </c>
      <c r="Y134">
        <v>26</v>
      </c>
      <c r="Z134">
        <v>2</v>
      </c>
      <c r="AA134">
        <v>2</v>
      </c>
      <c r="AB134">
        <v>30</v>
      </c>
      <c r="AC134">
        <v>94081</v>
      </c>
    </row>
    <row r="135" spans="1:29" x14ac:dyDescent="0.35">
      <c r="A135" t="s">
        <v>315</v>
      </c>
      <c r="B135" t="s">
        <v>80</v>
      </c>
      <c r="C135" t="s">
        <v>54</v>
      </c>
      <c r="D135" s="4">
        <v>45448</v>
      </c>
      <c r="E135" s="4">
        <v>45464</v>
      </c>
      <c r="F135" s="5">
        <f t="shared" si="6"/>
        <v>16</v>
      </c>
      <c r="G135">
        <v>43736</v>
      </c>
      <c r="H135" t="s">
        <v>44</v>
      </c>
      <c r="I135">
        <v>13</v>
      </c>
      <c r="J135">
        <v>1</v>
      </c>
      <c r="K135">
        <v>1</v>
      </c>
      <c r="L135" s="6">
        <f t="shared" si="7"/>
        <v>7.6923076923076927E-2</v>
      </c>
      <c r="M135" t="s">
        <v>316</v>
      </c>
      <c r="N135">
        <v>7</v>
      </c>
      <c r="O135">
        <v>17100</v>
      </c>
      <c r="P135">
        <v>74</v>
      </c>
      <c r="R135">
        <v>75</v>
      </c>
      <c r="S135" s="3">
        <f t="shared" si="8"/>
        <v>1</v>
      </c>
      <c r="T135">
        <v>1</v>
      </c>
      <c r="U135">
        <v>90</v>
      </c>
      <c r="V135">
        <v>55</v>
      </c>
      <c r="W135" t="s">
        <v>38</v>
      </c>
      <c r="X135" t="s">
        <v>46</v>
      </c>
      <c r="Y135">
        <v>46</v>
      </c>
      <c r="Z135">
        <v>23</v>
      </c>
      <c r="AA135">
        <v>14</v>
      </c>
      <c r="AB135">
        <v>30</v>
      </c>
      <c r="AC135">
        <v>115392</v>
      </c>
    </row>
    <row r="136" spans="1:29" x14ac:dyDescent="0.35">
      <c r="A136" t="s">
        <v>317</v>
      </c>
      <c r="B136" t="s">
        <v>29</v>
      </c>
      <c r="C136" t="s">
        <v>48</v>
      </c>
      <c r="D136" s="4">
        <v>45586</v>
      </c>
      <c r="E136" s="4">
        <v>45633</v>
      </c>
      <c r="F136" s="5">
        <f t="shared" si="6"/>
        <v>47</v>
      </c>
      <c r="G136">
        <v>30093</v>
      </c>
      <c r="H136" t="s">
        <v>44</v>
      </c>
      <c r="I136">
        <v>66</v>
      </c>
      <c r="J136">
        <v>17</v>
      </c>
      <c r="K136">
        <v>11</v>
      </c>
      <c r="L136" s="6">
        <f t="shared" si="7"/>
        <v>0.16666666666666666</v>
      </c>
      <c r="M136" t="s">
        <v>318</v>
      </c>
      <c r="N136">
        <v>4</v>
      </c>
      <c r="O136">
        <v>20039</v>
      </c>
      <c r="P136">
        <v>62</v>
      </c>
      <c r="R136">
        <v>68</v>
      </c>
      <c r="S136" s="3">
        <f t="shared" si="8"/>
        <v>6</v>
      </c>
      <c r="T136">
        <v>3</v>
      </c>
      <c r="U136">
        <v>94</v>
      </c>
      <c r="V136">
        <v>77</v>
      </c>
      <c r="W136" t="s">
        <v>33</v>
      </c>
      <c r="X136" t="s">
        <v>34</v>
      </c>
      <c r="Y136">
        <v>26</v>
      </c>
      <c r="Z136">
        <v>25</v>
      </c>
      <c r="AA136">
        <v>14</v>
      </c>
      <c r="AB136">
        <v>30</v>
      </c>
      <c r="AC136">
        <v>86701</v>
      </c>
    </row>
    <row r="137" spans="1:29" x14ac:dyDescent="0.35">
      <c r="A137" t="s">
        <v>319</v>
      </c>
      <c r="B137" t="s">
        <v>75</v>
      </c>
      <c r="C137" t="s">
        <v>63</v>
      </c>
      <c r="D137" s="4">
        <v>45655</v>
      </c>
      <c r="E137" s="4">
        <v>45700</v>
      </c>
      <c r="F137" s="5">
        <f t="shared" si="6"/>
        <v>45</v>
      </c>
      <c r="G137">
        <v>42793</v>
      </c>
      <c r="H137" t="s">
        <v>41</v>
      </c>
      <c r="I137">
        <v>24</v>
      </c>
      <c r="J137">
        <v>2</v>
      </c>
      <c r="K137">
        <v>2</v>
      </c>
      <c r="L137" s="6">
        <f t="shared" si="7"/>
        <v>8.3333333333333329E-2</v>
      </c>
      <c r="M137" t="s">
        <v>320</v>
      </c>
      <c r="N137">
        <v>28</v>
      </c>
      <c r="O137">
        <v>21485</v>
      </c>
      <c r="P137">
        <v>53</v>
      </c>
      <c r="R137">
        <v>79</v>
      </c>
      <c r="S137" s="3">
        <f t="shared" si="8"/>
        <v>26</v>
      </c>
      <c r="T137">
        <v>1</v>
      </c>
      <c r="U137">
        <v>94</v>
      </c>
      <c r="V137">
        <v>76</v>
      </c>
      <c r="W137" t="s">
        <v>38</v>
      </c>
      <c r="X137" t="s">
        <v>46</v>
      </c>
      <c r="Y137">
        <v>51</v>
      </c>
      <c r="Z137">
        <v>2</v>
      </c>
      <c r="AA137">
        <v>25</v>
      </c>
      <c r="AB137">
        <v>30</v>
      </c>
      <c r="AC137">
        <v>30261</v>
      </c>
    </row>
    <row r="138" spans="1:29" x14ac:dyDescent="0.35">
      <c r="A138" t="s">
        <v>321</v>
      </c>
      <c r="B138" t="s">
        <v>58</v>
      </c>
      <c r="C138" t="s">
        <v>89</v>
      </c>
      <c r="D138" s="4">
        <v>45540</v>
      </c>
      <c r="E138" s="4">
        <v>45546</v>
      </c>
      <c r="F138" s="5">
        <f t="shared" si="6"/>
        <v>6</v>
      </c>
      <c r="G138">
        <v>15133</v>
      </c>
      <c r="H138" t="s">
        <v>31</v>
      </c>
      <c r="I138">
        <v>80</v>
      </c>
      <c r="J138">
        <v>11</v>
      </c>
      <c r="K138">
        <v>11</v>
      </c>
      <c r="L138" s="6">
        <f t="shared" si="7"/>
        <v>0.13750000000000001</v>
      </c>
      <c r="M138" t="s">
        <v>322</v>
      </c>
      <c r="N138">
        <v>1</v>
      </c>
      <c r="O138">
        <v>21943</v>
      </c>
      <c r="P138">
        <v>52</v>
      </c>
      <c r="R138">
        <v>61</v>
      </c>
      <c r="S138" s="3">
        <f t="shared" si="8"/>
        <v>9</v>
      </c>
      <c r="T138">
        <v>3</v>
      </c>
      <c r="U138">
        <v>99</v>
      </c>
      <c r="V138">
        <v>74</v>
      </c>
      <c r="W138" t="s">
        <v>38</v>
      </c>
      <c r="X138" t="s">
        <v>46</v>
      </c>
      <c r="Y138">
        <v>29</v>
      </c>
      <c r="Z138">
        <v>8</v>
      </c>
      <c r="AA138">
        <v>7</v>
      </c>
      <c r="AB138">
        <v>30</v>
      </c>
      <c r="AC138">
        <v>31592</v>
      </c>
    </row>
    <row r="139" spans="1:29" x14ac:dyDescent="0.35">
      <c r="A139" t="s">
        <v>323</v>
      </c>
      <c r="B139" t="s">
        <v>70</v>
      </c>
      <c r="C139" t="s">
        <v>54</v>
      </c>
      <c r="D139" s="4">
        <v>45349</v>
      </c>
      <c r="E139" s="4">
        <v>45372</v>
      </c>
      <c r="F139" s="5">
        <f t="shared" si="6"/>
        <v>23</v>
      </c>
      <c r="G139">
        <v>21610</v>
      </c>
      <c r="H139" t="s">
        <v>44</v>
      </c>
      <c r="I139">
        <v>20</v>
      </c>
      <c r="J139">
        <v>14</v>
      </c>
      <c r="K139">
        <v>14</v>
      </c>
      <c r="L139" s="6">
        <f t="shared" si="7"/>
        <v>0.7</v>
      </c>
      <c r="M139" t="s">
        <v>324</v>
      </c>
      <c r="N139">
        <v>43</v>
      </c>
      <c r="O139">
        <v>2521</v>
      </c>
      <c r="P139">
        <v>42</v>
      </c>
      <c r="R139">
        <v>71</v>
      </c>
      <c r="S139" s="3">
        <f t="shared" si="8"/>
        <v>29</v>
      </c>
      <c r="T139">
        <v>2</v>
      </c>
      <c r="U139">
        <v>78</v>
      </c>
      <c r="V139">
        <v>58</v>
      </c>
      <c r="W139" t="s">
        <v>33</v>
      </c>
      <c r="X139" t="s">
        <v>34</v>
      </c>
      <c r="Y139">
        <v>30</v>
      </c>
      <c r="Z139">
        <v>17</v>
      </c>
      <c r="AA139">
        <v>7</v>
      </c>
      <c r="AB139">
        <v>30</v>
      </c>
      <c r="AC139">
        <v>30497</v>
      </c>
    </row>
    <row r="140" spans="1:29" x14ac:dyDescent="0.35">
      <c r="A140" t="s">
        <v>325</v>
      </c>
      <c r="B140" t="s">
        <v>70</v>
      </c>
      <c r="C140" t="s">
        <v>89</v>
      </c>
      <c r="D140" s="4">
        <v>45731</v>
      </c>
      <c r="E140" s="4">
        <v>45766</v>
      </c>
      <c r="F140" s="5">
        <f t="shared" si="6"/>
        <v>35</v>
      </c>
      <c r="G140">
        <v>23900</v>
      </c>
      <c r="H140" t="s">
        <v>44</v>
      </c>
      <c r="I140">
        <v>126</v>
      </c>
      <c r="J140">
        <v>6</v>
      </c>
      <c r="K140">
        <v>5</v>
      </c>
      <c r="L140" s="6">
        <f t="shared" si="7"/>
        <v>3.968253968253968E-2</v>
      </c>
      <c r="M140" t="s">
        <v>326</v>
      </c>
      <c r="N140">
        <v>62</v>
      </c>
      <c r="O140">
        <v>3973</v>
      </c>
      <c r="P140">
        <v>56</v>
      </c>
      <c r="R140">
        <v>66</v>
      </c>
      <c r="S140" s="3">
        <f t="shared" si="8"/>
        <v>10</v>
      </c>
      <c r="T140">
        <v>4</v>
      </c>
      <c r="U140">
        <v>77</v>
      </c>
      <c r="V140">
        <v>54</v>
      </c>
      <c r="W140" t="s">
        <v>33</v>
      </c>
      <c r="X140" t="s">
        <v>34</v>
      </c>
      <c r="Y140">
        <v>60</v>
      </c>
      <c r="Z140">
        <v>0</v>
      </c>
      <c r="AA140">
        <v>19</v>
      </c>
      <c r="AB140">
        <v>30</v>
      </c>
      <c r="AC140">
        <v>106239</v>
      </c>
    </row>
    <row r="141" spans="1:29" x14ac:dyDescent="0.35">
      <c r="A141" t="s">
        <v>327</v>
      </c>
      <c r="B141" t="s">
        <v>75</v>
      </c>
      <c r="C141" t="s">
        <v>51</v>
      </c>
      <c r="D141" s="4">
        <v>45661</v>
      </c>
      <c r="E141" s="4">
        <v>45698</v>
      </c>
      <c r="F141" s="5">
        <f t="shared" si="6"/>
        <v>37</v>
      </c>
      <c r="G141">
        <v>9875</v>
      </c>
      <c r="H141" t="s">
        <v>41</v>
      </c>
      <c r="I141">
        <v>13</v>
      </c>
      <c r="J141">
        <v>9</v>
      </c>
      <c r="K141">
        <v>8</v>
      </c>
      <c r="L141" s="6">
        <f t="shared" si="7"/>
        <v>0.61538461538461542</v>
      </c>
      <c r="M141" t="s">
        <v>328</v>
      </c>
      <c r="N141">
        <v>16</v>
      </c>
      <c r="O141">
        <v>6810</v>
      </c>
      <c r="P141">
        <v>44</v>
      </c>
      <c r="R141">
        <v>50</v>
      </c>
      <c r="S141" s="3">
        <f t="shared" si="8"/>
        <v>6</v>
      </c>
      <c r="T141">
        <v>1</v>
      </c>
      <c r="U141">
        <v>84</v>
      </c>
      <c r="V141">
        <v>50</v>
      </c>
      <c r="W141" t="s">
        <v>38</v>
      </c>
      <c r="X141" t="s">
        <v>46</v>
      </c>
      <c r="Y141">
        <v>27</v>
      </c>
      <c r="Z141">
        <v>9</v>
      </c>
      <c r="AA141">
        <v>25</v>
      </c>
      <c r="AB141">
        <v>30</v>
      </c>
      <c r="AC141">
        <v>104431</v>
      </c>
    </row>
    <row r="142" spans="1:29" x14ac:dyDescent="0.35">
      <c r="A142" t="s">
        <v>329</v>
      </c>
      <c r="B142" t="s">
        <v>58</v>
      </c>
      <c r="C142" t="s">
        <v>48</v>
      </c>
      <c r="D142" s="4">
        <v>45700</v>
      </c>
      <c r="E142" s="4">
        <v>45716</v>
      </c>
      <c r="F142" s="5">
        <f t="shared" si="6"/>
        <v>16</v>
      </c>
      <c r="G142">
        <v>41401</v>
      </c>
      <c r="H142" t="s">
        <v>36</v>
      </c>
      <c r="I142">
        <v>170</v>
      </c>
      <c r="J142">
        <v>20</v>
      </c>
      <c r="K142">
        <v>13</v>
      </c>
      <c r="L142" s="6">
        <f t="shared" si="7"/>
        <v>7.6470588235294124E-2</v>
      </c>
      <c r="M142" t="s">
        <v>330</v>
      </c>
      <c r="N142">
        <v>62</v>
      </c>
      <c r="O142">
        <v>22090</v>
      </c>
      <c r="P142">
        <v>71</v>
      </c>
      <c r="R142">
        <v>76</v>
      </c>
      <c r="S142" s="3">
        <f t="shared" si="8"/>
        <v>5</v>
      </c>
      <c r="T142">
        <v>4</v>
      </c>
      <c r="U142">
        <v>80</v>
      </c>
      <c r="V142">
        <v>55</v>
      </c>
      <c r="W142" t="s">
        <v>38</v>
      </c>
      <c r="X142" t="s">
        <v>46</v>
      </c>
      <c r="Y142">
        <v>37</v>
      </c>
      <c r="Z142">
        <v>21</v>
      </c>
      <c r="AA142">
        <v>5</v>
      </c>
      <c r="AB142">
        <v>30</v>
      </c>
      <c r="AC142">
        <v>96465</v>
      </c>
    </row>
    <row r="143" spans="1:29" x14ac:dyDescent="0.35">
      <c r="A143" t="s">
        <v>331</v>
      </c>
      <c r="B143" t="s">
        <v>80</v>
      </c>
      <c r="C143" t="s">
        <v>89</v>
      </c>
      <c r="D143" s="4">
        <v>45555</v>
      </c>
      <c r="E143" s="4">
        <v>45605</v>
      </c>
      <c r="F143" s="5">
        <f t="shared" si="6"/>
        <v>50</v>
      </c>
      <c r="G143">
        <v>27887</v>
      </c>
      <c r="H143" t="s">
        <v>31</v>
      </c>
      <c r="I143">
        <v>137</v>
      </c>
      <c r="J143">
        <v>1</v>
      </c>
      <c r="K143">
        <v>1</v>
      </c>
      <c r="L143" s="6">
        <f t="shared" si="7"/>
        <v>7.2992700729927005E-3</v>
      </c>
      <c r="M143" t="s">
        <v>332</v>
      </c>
      <c r="N143">
        <v>3</v>
      </c>
      <c r="O143">
        <v>23116</v>
      </c>
      <c r="P143">
        <v>74</v>
      </c>
      <c r="R143">
        <v>74</v>
      </c>
      <c r="S143" s="3">
        <f t="shared" si="8"/>
        <v>0</v>
      </c>
      <c r="T143">
        <v>4</v>
      </c>
      <c r="U143">
        <v>79</v>
      </c>
      <c r="V143">
        <v>62</v>
      </c>
      <c r="W143" t="s">
        <v>33</v>
      </c>
      <c r="X143" t="s">
        <v>46</v>
      </c>
      <c r="Y143">
        <v>58</v>
      </c>
      <c r="Z143">
        <v>0</v>
      </c>
      <c r="AA143">
        <v>7</v>
      </c>
      <c r="AB143">
        <v>30</v>
      </c>
      <c r="AC143">
        <v>38509</v>
      </c>
    </row>
    <row r="144" spans="1:29" x14ac:dyDescent="0.35">
      <c r="A144" t="s">
        <v>333</v>
      </c>
      <c r="B144" t="s">
        <v>75</v>
      </c>
      <c r="C144" t="s">
        <v>89</v>
      </c>
      <c r="D144" s="4">
        <v>45475</v>
      </c>
      <c r="E144" s="4">
        <v>45529</v>
      </c>
      <c r="F144" s="5">
        <f t="shared" si="6"/>
        <v>54</v>
      </c>
      <c r="G144">
        <v>31967</v>
      </c>
      <c r="H144" t="s">
        <v>41</v>
      </c>
      <c r="I144">
        <v>99</v>
      </c>
      <c r="J144">
        <v>14</v>
      </c>
      <c r="K144">
        <v>5</v>
      </c>
      <c r="L144" s="6">
        <f t="shared" si="7"/>
        <v>5.0505050505050504E-2</v>
      </c>
      <c r="M144" t="s">
        <v>334</v>
      </c>
      <c r="N144">
        <v>20</v>
      </c>
      <c r="O144">
        <v>12330</v>
      </c>
      <c r="P144">
        <v>81</v>
      </c>
      <c r="R144">
        <v>81</v>
      </c>
      <c r="S144" s="3">
        <f t="shared" si="8"/>
        <v>0</v>
      </c>
      <c r="T144">
        <v>3</v>
      </c>
      <c r="U144">
        <v>90</v>
      </c>
      <c r="V144">
        <v>69</v>
      </c>
      <c r="W144" t="s">
        <v>33</v>
      </c>
      <c r="X144" t="s">
        <v>46</v>
      </c>
      <c r="Y144">
        <v>24</v>
      </c>
      <c r="Z144">
        <v>12</v>
      </c>
      <c r="AA144">
        <v>3</v>
      </c>
      <c r="AB144">
        <v>30</v>
      </c>
      <c r="AC144">
        <v>103450</v>
      </c>
    </row>
    <row r="145" spans="1:29" x14ac:dyDescent="0.35">
      <c r="A145" t="s">
        <v>335</v>
      </c>
      <c r="B145" t="s">
        <v>70</v>
      </c>
      <c r="C145" t="s">
        <v>54</v>
      </c>
      <c r="D145" s="4">
        <v>45436</v>
      </c>
      <c r="E145" s="4">
        <v>45484</v>
      </c>
      <c r="F145" s="5">
        <f t="shared" si="6"/>
        <v>48</v>
      </c>
      <c r="G145">
        <v>47912</v>
      </c>
      <c r="H145" t="s">
        <v>44</v>
      </c>
      <c r="I145">
        <v>163</v>
      </c>
      <c r="J145">
        <v>9</v>
      </c>
      <c r="K145">
        <v>5</v>
      </c>
      <c r="L145" s="6">
        <f t="shared" si="7"/>
        <v>3.0674846625766871E-2</v>
      </c>
      <c r="M145" t="s">
        <v>336</v>
      </c>
      <c r="N145">
        <v>68</v>
      </c>
      <c r="O145">
        <v>14223</v>
      </c>
      <c r="P145">
        <v>73</v>
      </c>
      <c r="R145">
        <v>98</v>
      </c>
      <c r="S145" s="3">
        <f t="shared" si="8"/>
        <v>25</v>
      </c>
      <c r="T145">
        <v>2</v>
      </c>
      <c r="U145">
        <v>77</v>
      </c>
      <c r="V145">
        <v>97</v>
      </c>
      <c r="W145" t="s">
        <v>38</v>
      </c>
      <c r="X145" t="s">
        <v>46</v>
      </c>
      <c r="Y145">
        <v>46</v>
      </c>
      <c r="Z145">
        <v>8</v>
      </c>
      <c r="AA145">
        <v>4</v>
      </c>
      <c r="AB145">
        <v>30</v>
      </c>
      <c r="AC145">
        <v>52754</v>
      </c>
    </row>
    <row r="146" spans="1:29" x14ac:dyDescent="0.35">
      <c r="A146" t="s">
        <v>337</v>
      </c>
      <c r="B146" t="s">
        <v>70</v>
      </c>
      <c r="C146" t="s">
        <v>48</v>
      </c>
      <c r="D146" s="4">
        <v>45296</v>
      </c>
      <c r="E146" s="4">
        <v>45316</v>
      </c>
      <c r="F146" s="5">
        <f t="shared" si="6"/>
        <v>20</v>
      </c>
      <c r="G146">
        <v>42418</v>
      </c>
      <c r="H146" t="s">
        <v>36</v>
      </c>
      <c r="I146">
        <v>87</v>
      </c>
      <c r="J146">
        <v>8</v>
      </c>
      <c r="K146">
        <v>8</v>
      </c>
      <c r="L146" s="6">
        <f t="shared" si="7"/>
        <v>9.1954022988505746E-2</v>
      </c>
      <c r="M146" t="s">
        <v>338</v>
      </c>
      <c r="N146">
        <v>10</v>
      </c>
      <c r="O146">
        <v>22315</v>
      </c>
      <c r="P146">
        <v>70</v>
      </c>
      <c r="R146">
        <v>95</v>
      </c>
      <c r="S146" s="3">
        <f t="shared" si="8"/>
        <v>25</v>
      </c>
      <c r="T146">
        <v>3</v>
      </c>
      <c r="U146">
        <v>77</v>
      </c>
      <c r="V146">
        <v>72</v>
      </c>
      <c r="W146" t="s">
        <v>38</v>
      </c>
      <c r="X146" t="s">
        <v>34</v>
      </c>
      <c r="Y146">
        <v>30</v>
      </c>
      <c r="Z146">
        <v>24</v>
      </c>
      <c r="AA146">
        <v>19</v>
      </c>
      <c r="AB146">
        <v>30</v>
      </c>
      <c r="AC146">
        <v>52164</v>
      </c>
    </row>
    <row r="147" spans="1:29" x14ac:dyDescent="0.35">
      <c r="A147" t="s">
        <v>339</v>
      </c>
      <c r="B147" t="s">
        <v>80</v>
      </c>
      <c r="C147" t="s">
        <v>89</v>
      </c>
      <c r="D147" s="4">
        <v>45343</v>
      </c>
      <c r="E147" s="4">
        <v>45362</v>
      </c>
      <c r="F147" s="5">
        <f t="shared" si="6"/>
        <v>19</v>
      </c>
      <c r="G147">
        <v>27167</v>
      </c>
      <c r="H147" t="s">
        <v>36</v>
      </c>
      <c r="I147">
        <v>189</v>
      </c>
      <c r="J147">
        <v>8</v>
      </c>
      <c r="K147">
        <v>5</v>
      </c>
      <c r="L147" s="6">
        <f t="shared" si="7"/>
        <v>2.6455026455026454E-2</v>
      </c>
      <c r="M147" t="s">
        <v>340</v>
      </c>
      <c r="N147">
        <v>54</v>
      </c>
      <c r="O147">
        <v>25867</v>
      </c>
      <c r="P147">
        <v>83</v>
      </c>
      <c r="R147">
        <v>87</v>
      </c>
      <c r="S147" s="3">
        <f t="shared" si="8"/>
        <v>4</v>
      </c>
      <c r="T147">
        <v>5</v>
      </c>
      <c r="U147">
        <v>98</v>
      </c>
      <c r="V147">
        <v>68</v>
      </c>
      <c r="W147" t="s">
        <v>38</v>
      </c>
      <c r="X147" t="s">
        <v>46</v>
      </c>
      <c r="Y147">
        <v>50</v>
      </c>
      <c r="Z147">
        <v>10</v>
      </c>
      <c r="AA147">
        <v>6</v>
      </c>
      <c r="AB147">
        <v>30</v>
      </c>
      <c r="AC147">
        <v>50295</v>
      </c>
    </row>
    <row r="148" spans="1:29" x14ac:dyDescent="0.35">
      <c r="A148" t="s">
        <v>341</v>
      </c>
      <c r="B148" t="s">
        <v>40</v>
      </c>
      <c r="C148" t="s">
        <v>89</v>
      </c>
      <c r="D148" s="4">
        <v>45404</v>
      </c>
      <c r="E148" s="4">
        <v>45417</v>
      </c>
      <c r="F148" s="5">
        <f t="shared" si="6"/>
        <v>13</v>
      </c>
      <c r="G148">
        <v>31754</v>
      </c>
      <c r="H148" t="s">
        <v>55</v>
      </c>
      <c r="I148">
        <v>136</v>
      </c>
      <c r="J148">
        <v>3</v>
      </c>
      <c r="K148">
        <v>1</v>
      </c>
      <c r="L148" s="6">
        <f t="shared" si="7"/>
        <v>7.3529411764705881E-3</v>
      </c>
      <c r="M148" t="s">
        <v>342</v>
      </c>
      <c r="N148">
        <v>36</v>
      </c>
      <c r="O148">
        <v>10440</v>
      </c>
      <c r="P148">
        <v>78</v>
      </c>
      <c r="R148">
        <v>92</v>
      </c>
      <c r="S148" s="3">
        <f t="shared" si="8"/>
        <v>14</v>
      </c>
      <c r="T148">
        <v>5</v>
      </c>
      <c r="U148">
        <v>100</v>
      </c>
      <c r="V148">
        <v>81</v>
      </c>
      <c r="W148" t="s">
        <v>33</v>
      </c>
      <c r="X148" t="s">
        <v>34</v>
      </c>
      <c r="Y148">
        <v>39</v>
      </c>
      <c r="Z148">
        <v>0</v>
      </c>
      <c r="AA148">
        <v>17</v>
      </c>
      <c r="AB148">
        <v>30</v>
      </c>
      <c r="AC148">
        <v>33792</v>
      </c>
    </row>
    <row r="149" spans="1:29" x14ac:dyDescent="0.35">
      <c r="A149" t="s">
        <v>343</v>
      </c>
      <c r="B149" t="s">
        <v>40</v>
      </c>
      <c r="C149" t="s">
        <v>30</v>
      </c>
      <c r="D149" s="4">
        <v>45631</v>
      </c>
      <c r="E149" s="4">
        <v>45646</v>
      </c>
      <c r="F149" s="5">
        <f t="shared" si="6"/>
        <v>15</v>
      </c>
      <c r="G149">
        <v>21190</v>
      </c>
      <c r="H149" t="s">
        <v>41</v>
      </c>
      <c r="I149">
        <v>146</v>
      </c>
      <c r="J149">
        <v>12</v>
      </c>
      <c r="K149">
        <v>3</v>
      </c>
      <c r="L149" s="6">
        <f t="shared" si="7"/>
        <v>2.0547945205479451E-2</v>
      </c>
      <c r="M149" t="s">
        <v>344</v>
      </c>
      <c r="N149">
        <v>56</v>
      </c>
      <c r="O149">
        <v>7572</v>
      </c>
      <c r="P149">
        <v>74</v>
      </c>
      <c r="R149">
        <v>86</v>
      </c>
      <c r="S149" s="3">
        <f t="shared" si="8"/>
        <v>12</v>
      </c>
      <c r="T149">
        <v>2</v>
      </c>
      <c r="U149">
        <v>99</v>
      </c>
      <c r="V149">
        <v>90</v>
      </c>
      <c r="W149" t="s">
        <v>33</v>
      </c>
      <c r="X149" t="s">
        <v>34</v>
      </c>
      <c r="Y149">
        <v>55</v>
      </c>
      <c r="Z149">
        <v>22</v>
      </c>
      <c r="AA149">
        <v>3</v>
      </c>
      <c r="AB149">
        <v>30</v>
      </c>
      <c r="AC149">
        <v>31850</v>
      </c>
    </row>
    <row r="150" spans="1:29" x14ac:dyDescent="0.35">
      <c r="A150" t="s">
        <v>345</v>
      </c>
      <c r="B150" t="s">
        <v>40</v>
      </c>
      <c r="C150" t="s">
        <v>89</v>
      </c>
      <c r="D150" s="4">
        <v>45712</v>
      </c>
      <c r="E150" s="4">
        <v>45717</v>
      </c>
      <c r="F150" s="5">
        <f t="shared" si="6"/>
        <v>5</v>
      </c>
      <c r="G150">
        <v>37264</v>
      </c>
      <c r="H150" t="s">
        <v>55</v>
      </c>
      <c r="I150">
        <v>108</v>
      </c>
      <c r="J150">
        <v>8</v>
      </c>
      <c r="K150">
        <v>2</v>
      </c>
      <c r="L150" s="6">
        <f t="shared" si="7"/>
        <v>1.8518518518518517E-2</v>
      </c>
      <c r="M150" t="s">
        <v>346</v>
      </c>
      <c r="N150">
        <v>73</v>
      </c>
      <c r="O150">
        <v>21940</v>
      </c>
      <c r="P150">
        <v>43</v>
      </c>
      <c r="R150">
        <v>69</v>
      </c>
      <c r="S150" s="3">
        <f t="shared" si="8"/>
        <v>26</v>
      </c>
      <c r="T150">
        <v>5</v>
      </c>
      <c r="U150">
        <v>92</v>
      </c>
      <c r="V150">
        <v>91</v>
      </c>
      <c r="W150" t="s">
        <v>38</v>
      </c>
      <c r="X150" t="s">
        <v>34</v>
      </c>
      <c r="Y150">
        <v>28</v>
      </c>
      <c r="Z150">
        <v>12</v>
      </c>
      <c r="AA150">
        <v>21</v>
      </c>
      <c r="AB150">
        <v>30</v>
      </c>
      <c r="AC150">
        <v>35922</v>
      </c>
    </row>
    <row r="151" spans="1:29" x14ac:dyDescent="0.35">
      <c r="A151" t="s">
        <v>347</v>
      </c>
      <c r="B151" t="s">
        <v>70</v>
      </c>
      <c r="C151" t="s">
        <v>51</v>
      </c>
      <c r="D151" s="4">
        <v>45345</v>
      </c>
      <c r="E151" s="4">
        <v>45377</v>
      </c>
      <c r="F151" s="5">
        <f t="shared" si="6"/>
        <v>32</v>
      </c>
      <c r="G151">
        <v>46966</v>
      </c>
      <c r="H151" t="s">
        <v>55</v>
      </c>
      <c r="I151">
        <v>178</v>
      </c>
      <c r="J151">
        <v>11</v>
      </c>
      <c r="K151">
        <v>2</v>
      </c>
      <c r="L151" s="6">
        <f t="shared" si="7"/>
        <v>1.1235955056179775E-2</v>
      </c>
      <c r="M151" t="s">
        <v>348</v>
      </c>
      <c r="N151">
        <v>54</v>
      </c>
      <c r="O151">
        <v>21609</v>
      </c>
      <c r="P151">
        <v>49</v>
      </c>
      <c r="R151">
        <v>68</v>
      </c>
      <c r="S151" s="3">
        <f t="shared" si="8"/>
        <v>19</v>
      </c>
      <c r="T151">
        <v>4</v>
      </c>
      <c r="U151">
        <v>91</v>
      </c>
      <c r="V151">
        <v>68</v>
      </c>
      <c r="W151" t="s">
        <v>38</v>
      </c>
      <c r="X151" t="s">
        <v>34</v>
      </c>
      <c r="Y151">
        <v>60</v>
      </c>
      <c r="Z151">
        <v>12</v>
      </c>
      <c r="AA151">
        <v>5</v>
      </c>
      <c r="AB151">
        <v>30</v>
      </c>
      <c r="AC151">
        <v>81227</v>
      </c>
    </row>
    <row r="152" spans="1:29" x14ac:dyDescent="0.35">
      <c r="A152" t="s">
        <v>349</v>
      </c>
      <c r="B152" t="s">
        <v>29</v>
      </c>
      <c r="C152" t="s">
        <v>54</v>
      </c>
      <c r="D152" s="4">
        <v>45536</v>
      </c>
      <c r="E152" s="4">
        <v>45596</v>
      </c>
      <c r="F152" s="5">
        <f t="shared" si="6"/>
        <v>60</v>
      </c>
      <c r="G152">
        <v>8585</v>
      </c>
      <c r="H152" t="s">
        <v>31</v>
      </c>
      <c r="I152">
        <v>163</v>
      </c>
      <c r="J152">
        <v>16</v>
      </c>
      <c r="K152">
        <v>12</v>
      </c>
      <c r="L152" s="6">
        <f t="shared" si="7"/>
        <v>7.3619631901840496E-2</v>
      </c>
      <c r="M152" t="s">
        <v>350</v>
      </c>
      <c r="N152">
        <v>3</v>
      </c>
      <c r="O152">
        <v>24388</v>
      </c>
      <c r="P152">
        <v>78</v>
      </c>
      <c r="R152">
        <v>88</v>
      </c>
      <c r="S152" s="3">
        <f t="shared" si="8"/>
        <v>10</v>
      </c>
      <c r="T152">
        <v>2</v>
      </c>
      <c r="U152">
        <v>90</v>
      </c>
      <c r="V152">
        <v>96</v>
      </c>
      <c r="W152" t="s">
        <v>38</v>
      </c>
      <c r="X152" t="s">
        <v>34</v>
      </c>
      <c r="Y152">
        <v>48</v>
      </c>
      <c r="Z152">
        <v>6</v>
      </c>
      <c r="AA152">
        <v>3</v>
      </c>
      <c r="AB152">
        <v>30</v>
      </c>
      <c r="AC152">
        <v>50345</v>
      </c>
    </row>
    <row r="153" spans="1:29" x14ac:dyDescent="0.35">
      <c r="A153" t="s">
        <v>351</v>
      </c>
      <c r="B153" t="s">
        <v>75</v>
      </c>
      <c r="C153" t="s">
        <v>30</v>
      </c>
      <c r="D153" s="4">
        <v>45612</v>
      </c>
      <c r="E153" s="4">
        <v>45671</v>
      </c>
      <c r="F153" s="5">
        <f t="shared" si="6"/>
        <v>59</v>
      </c>
      <c r="G153">
        <v>18082</v>
      </c>
      <c r="H153" t="s">
        <v>31</v>
      </c>
      <c r="I153">
        <v>61</v>
      </c>
      <c r="J153">
        <v>12</v>
      </c>
      <c r="K153">
        <v>10</v>
      </c>
      <c r="L153" s="6">
        <f t="shared" si="7"/>
        <v>0.16393442622950818</v>
      </c>
      <c r="M153" t="s">
        <v>352</v>
      </c>
      <c r="N153">
        <v>72</v>
      </c>
      <c r="O153">
        <v>28809</v>
      </c>
      <c r="P153">
        <v>62</v>
      </c>
      <c r="R153">
        <v>75</v>
      </c>
      <c r="S153" s="3">
        <f t="shared" si="8"/>
        <v>13</v>
      </c>
      <c r="T153">
        <v>5</v>
      </c>
      <c r="U153">
        <v>79</v>
      </c>
      <c r="V153">
        <v>80</v>
      </c>
      <c r="W153" t="s">
        <v>33</v>
      </c>
      <c r="X153" t="s">
        <v>46</v>
      </c>
      <c r="Y153">
        <v>32</v>
      </c>
      <c r="Z153">
        <v>3</v>
      </c>
      <c r="AA153">
        <v>20</v>
      </c>
      <c r="AB153">
        <v>30</v>
      </c>
      <c r="AC153">
        <v>84081</v>
      </c>
    </row>
    <row r="154" spans="1:29" x14ac:dyDescent="0.35">
      <c r="A154" t="s">
        <v>353</v>
      </c>
      <c r="B154" t="s">
        <v>40</v>
      </c>
      <c r="C154" t="s">
        <v>63</v>
      </c>
      <c r="D154" s="4">
        <v>45691</v>
      </c>
      <c r="E154" s="4">
        <v>45739</v>
      </c>
      <c r="F154" s="5">
        <f t="shared" si="6"/>
        <v>48</v>
      </c>
      <c r="G154">
        <v>22281</v>
      </c>
      <c r="H154" t="s">
        <v>36</v>
      </c>
      <c r="I154">
        <v>190</v>
      </c>
      <c r="J154">
        <v>1</v>
      </c>
      <c r="K154">
        <v>1</v>
      </c>
      <c r="L154" s="6">
        <f t="shared" si="7"/>
        <v>5.263157894736842E-3</v>
      </c>
      <c r="M154" t="s">
        <v>354</v>
      </c>
      <c r="N154">
        <v>10</v>
      </c>
      <c r="O154">
        <v>24991</v>
      </c>
      <c r="P154">
        <v>77</v>
      </c>
      <c r="R154">
        <v>100</v>
      </c>
      <c r="S154" s="3">
        <f t="shared" si="8"/>
        <v>23</v>
      </c>
      <c r="T154">
        <v>4</v>
      </c>
      <c r="U154">
        <v>80</v>
      </c>
      <c r="V154">
        <v>100</v>
      </c>
      <c r="W154" t="s">
        <v>33</v>
      </c>
      <c r="X154" t="s">
        <v>46</v>
      </c>
      <c r="Y154">
        <v>58</v>
      </c>
      <c r="Z154">
        <v>5</v>
      </c>
      <c r="AA154">
        <v>25</v>
      </c>
      <c r="AB154">
        <v>30</v>
      </c>
      <c r="AC154">
        <v>36896</v>
      </c>
    </row>
    <row r="155" spans="1:29" x14ac:dyDescent="0.35">
      <c r="A155" t="s">
        <v>355</v>
      </c>
      <c r="B155" t="s">
        <v>58</v>
      </c>
      <c r="C155" t="s">
        <v>48</v>
      </c>
      <c r="D155" s="4">
        <v>45782</v>
      </c>
      <c r="E155" s="4">
        <v>45837</v>
      </c>
      <c r="F155" s="5">
        <f t="shared" si="6"/>
        <v>55</v>
      </c>
      <c r="G155">
        <v>20929</v>
      </c>
      <c r="H155" t="s">
        <v>44</v>
      </c>
      <c r="I155">
        <v>33</v>
      </c>
      <c r="J155">
        <v>18</v>
      </c>
      <c r="K155">
        <v>18</v>
      </c>
      <c r="L155" s="6">
        <f t="shared" si="7"/>
        <v>0.54545454545454541</v>
      </c>
      <c r="M155" t="s">
        <v>356</v>
      </c>
      <c r="N155">
        <v>66</v>
      </c>
      <c r="O155">
        <v>17246</v>
      </c>
      <c r="P155">
        <v>75</v>
      </c>
      <c r="R155">
        <v>86</v>
      </c>
      <c r="S155" s="3">
        <f t="shared" si="8"/>
        <v>11</v>
      </c>
      <c r="T155">
        <v>4</v>
      </c>
      <c r="U155">
        <v>85</v>
      </c>
      <c r="V155">
        <v>53</v>
      </c>
      <c r="W155" t="s">
        <v>33</v>
      </c>
      <c r="X155" t="s">
        <v>46</v>
      </c>
      <c r="Y155">
        <v>34</v>
      </c>
      <c r="Z155">
        <v>20</v>
      </c>
      <c r="AA155">
        <v>19</v>
      </c>
      <c r="AB155">
        <v>30</v>
      </c>
      <c r="AC155">
        <v>108479</v>
      </c>
    </row>
    <row r="156" spans="1:29" x14ac:dyDescent="0.35">
      <c r="A156" t="s">
        <v>357</v>
      </c>
      <c r="B156" t="s">
        <v>70</v>
      </c>
      <c r="C156" t="s">
        <v>54</v>
      </c>
      <c r="D156" s="4">
        <v>45370</v>
      </c>
      <c r="E156" s="4">
        <v>45409</v>
      </c>
      <c r="F156" s="5">
        <f t="shared" si="6"/>
        <v>39</v>
      </c>
      <c r="G156">
        <v>34154</v>
      </c>
      <c r="H156" t="s">
        <v>36</v>
      </c>
      <c r="I156">
        <v>44</v>
      </c>
      <c r="J156">
        <v>8</v>
      </c>
      <c r="K156">
        <v>5</v>
      </c>
      <c r="L156" s="6">
        <f t="shared" si="7"/>
        <v>0.11363636363636363</v>
      </c>
      <c r="M156" t="s">
        <v>358</v>
      </c>
      <c r="N156">
        <v>1</v>
      </c>
      <c r="O156">
        <v>24434</v>
      </c>
      <c r="P156">
        <v>70</v>
      </c>
      <c r="R156">
        <v>76</v>
      </c>
      <c r="S156" s="3">
        <f t="shared" si="8"/>
        <v>6</v>
      </c>
      <c r="T156">
        <v>5</v>
      </c>
      <c r="U156">
        <v>82</v>
      </c>
      <c r="V156">
        <v>52</v>
      </c>
      <c r="W156" t="s">
        <v>38</v>
      </c>
      <c r="X156" t="s">
        <v>34</v>
      </c>
      <c r="Y156">
        <v>27</v>
      </c>
      <c r="Z156">
        <v>24</v>
      </c>
      <c r="AA156">
        <v>14</v>
      </c>
      <c r="AB156">
        <v>30</v>
      </c>
      <c r="AC156">
        <v>64163</v>
      </c>
    </row>
    <row r="157" spans="1:29" x14ac:dyDescent="0.35">
      <c r="A157" t="s">
        <v>359</v>
      </c>
      <c r="B157" t="s">
        <v>75</v>
      </c>
      <c r="C157" t="s">
        <v>48</v>
      </c>
      <c r="D157" s="4">
        <v>45328</v>
      </c>
      <c r="E157" s="4">
        <v>45342</v>
      </c>
      <c r="F157" s="5">
        <f t="shared" si="6"/>
        <v>14</v>
      </c>
      <c r="G157">
        <v>21215</v>
      </c>
      <c r="H157" t="s">
        <v>44</v>
      </c>
      <c r="I157">
        <v>181</v>
      </c>
      <c r="J157">
        <v>9</v>
      </c>
      <c r="K157">
        <v>7</v>
      </c>
      <c r="L157" s="6">
        <f t="shared" si="7"/>
        <v>3.8674033149171269E-2</v>
      </c>
      <c r="M157" t="s">
        <v>360</v>
      </c>
      <c r="N157">
        <v>73</v>
      </c>
      <c r="O157">
        <v>24887</v>
      </c>
      <c r="P157">
        <v>56</v>
      </c>
      <c r="R157">
        <v>78</v>
      </c>
      <c r="S157" s="3">
        <f t="shared" si="8"/>
        <v>22</v>
      </c>
      <c r="T157">
        <v>3</v>
      </c>
      <c r="U157">
        <v>90</v>
      </c>
      <c r="V157">
        <v>93</v>
      </c>
      <c r="W157" t="s">
        <v>38</v>
      </c>
      <c r="X157" t="s">
        <v>34</v>
      </c>
      <c r="Y157">
        <v>50</v>
      </c>
      <c r="Z157">
        <v>24</v>
      </c>
      <c r="AA157">
        <v>25</v>
      </c>
      <c r="AB157">
        <v>30</v>
      </c>
      <c r="AC157">
        <v>32317</v>
      </c>
    </row>
    <row r="158" spans="1:29" x14ac:dyDescent="0.35">
      <c r="A158" t="s">
        <v>361</v>
      </c>
      <c r="B158" t="s">
        <v>29</v>
      </c>
      <c r="C158" t="s">
        <v>51</v>
      </c>
      <c r="D158" s="4">
        <v>45299</v>
      </c>
      <c r="E158" s="4">
        <v>45354</v>
      </c>
      <c r="F158" s="5">
        <f t="shared" si="6"/>
        <v>55</v>
      </c>
      <c r="G158">
        <v>9501</v>
      </c>
      <c r="H158" t="s">
        <v>55</v>
      </c>
      <c r="I158">
        <v>67</v>
      </c>
      <c r="J158">
        <v>12</v>
      </c>
      <c r="K158">
        <v>4</v>
      </c>
      <c r="L158" s="6">
        <f t="shared" si="7"/>
        <v>5.9701492537313432E-2</v>
      </c>
      <c r="M158" t="s">
        <v>362</v>
      </c>
      <c r="N158">
        <v>13</v>
      </c>
      <c r="O158">
        <v>16110</v>
      </c>
      <c r="P158">
        <v>57</v>
      </c>
      <c r="R158">
        <v>84</v>
      </c>
      <c r="S158" s="3">
        <f t="shared" si="8"/>
        <v>27</v>
      </c>
      <c r="T158">
        <v>5</v>
      </c>
      <c r="U158">
        <v>76</v>
      </c>
      <c r="V158">
        <v>80</v>
      </c>
      <c r="W158" t="s">
        <v>38</v>
      </c>
      <c r="X158" t="s">
        <v>46</v>
      </c>
      <c r="Y158">
        <v>29</v>
      </c>
      <c r="Z158">
        <v>16</v>
      </c>
      <c r="AA158">
        <v>2</v>
      </c>
      <c r="AB158">
        <v>30</v>
      </c>
      <c r="AC158">
        <v>117894</v>
      </c>
    </row>
    <row r="159" spans="1:29" x14ac:dyDescent="0.35">
      <c r="A159" t="s">
        <v>363</v>
      </c>
      <c r="B159" t="s">
        <v>40</v>
      </c>
      <c r="C159" t="s">
        <v>89</v>
      </c>
      <c r="D159" s="4">
        <v>45639</v>
      </c>
      <c r="E159" s="4">
        <v>45686</v>
      </c>
      <c r="F159" s="5">
        <f t="shared" si="6"/>
        <v>47</v>
      </c>
      <c r="G159">
        <v>16103</v>
      </c>
      <c r="H159" t="s">
        <v>44</v>
      </c>
      <c r="I159">
        <v>95</v>
      </c>
      <c r="J159">
        <v>10</v>
      </c>
      <c r="K159">
        <v>1</v>
      </c>
      <c r="L159" s="6">
        <f t="shared" si="7"/>
        <v>1.0526315789473684E-2</v>
      </c>
      <c r="M159" t="s">
        <v>364</v>
      </c>
      <c r="N159">
        <v>63</v>
      </c>
      <c r="O159">
        <v>23804</v>
      </c>
      <c r="P159">
        <v>82</v>
      </c>
      <c r="R159">
        <v>86</v>
      </c>
      <c r="S159" s="3">
        <f t="shared" si="8"/>
        <v>4</v>
      </c>
      <c r="T159">
        <v>2</v>
      </c>
      <c r="U159">
        <v>86</v>
      </c>
      <c r="V159">
        <v>64</v>
      </c>
      <c r="W159" t="s">
        <v>38</v>
      </c>
      <c r="X159" t="s">
        <v>34</v>
      </c>
      <c r="Y159">
        <v>34</v>
      </c>
      <c r="Z159">
        <v>7</v>
      </c>
      <c r="AA159">
        <v>0</v>
      </c>
      <c r="AB159">
        <v>30</v>
      </c>
      <c r="AC159">
        <v>33685</v>
      </c>
    </row>
    <row r="160" spans="1:29" x14ac:dyDescent="0.35">
      <c r="A160" t="s">
        <v>365</v>
      </c>
      <c r="B160" t="s">
        <v>80</v>
      </c>
      <c r="C160" t="s">
        <v>63</v>
      </c>
      <c r="D160" s="4">
        <v>45629</v>
      </c>
      <c r="E160" s="4">
        <v>45675</v>
      </c>
      <c r="F160" s="5">
        <f t="shared" si="6"/>
        <v>46</v>
      </c>
      <c r="G160">
        <v>22584</v>
      </c>
      <c r="H160" t="s">
        <v>44</v>
      </c>
      <c r="I160">
        <v>140</v>
      </c>
      <c r="J160">
        <v>20</v>
      </c>
      <c r="K160">
        <v>17</v>
      </c>
      <c r="L160" s="6">
        <f t="shared" si="7"/>
        <v>0.12142857142857143</v>
      </c>
      <c r="M160" t="s">
        <v>366</v>
      </c>
      <c r="N160">
        <v>32</v>
      </c>
      <c r="O160">
        <v>11699</v>
      </c>
      <c r="P160">
        <v>49</v>
      </c>
      <c r="R160">
        <v>52</v>
      </c>
      <c r="S160" s="3">
        <f t="shared" si="8"/>
        <v>3</v>
      </c>
      <c r="T160">
        <v>2</v>
      </c>
      <c r="U160">
        <v>99</v>
      </c>
      <c r="V160">
        <v>92</v>
      </c>
      <c r="W160" t="s">
        <v>38</v>
      </c>
      <c r="X160" t="s">
        <v>34</v>
      </c>
      <c r="Y160">
        <v>51</v>
      </c>
      <c r="Z160">
        <v>11</v>
      </c>
      <c r="AA160">
        <v>2</v>
      </c>
      <c r="AB160">
        <v>30</v>
      </c>
      <c r="AC160">
        <v>63350</v>
      </c>
    </row>
    <row r="161" spans="1:29" x14ac:dyDescent="0.35">
      <c r="A161" t="s">
        <v>367</v>
      </c>
      <c r="B161" t="s">
        <v>40</v>
      </c>
      <c r="C161" t="s">
        <v>54</v>
      </c>
      <c r="D161" s="4">
        <v>45707</v>
      </c>
      <c r="E161" s="4">
        <v>45721</v>
      </c>
      <c r="F161" s="5">
        <f t="shared" si="6"/>
        <v>14</v>
      </c>
      <c r="G161">
        <v>15876</v>
      </c>
      <c r="H161" t="s">
        <v>55</v>
      </c>
      <c r="I161">
        <v>56</v>
      </c>
      <c r="J161">
        <v>15</v>
      </c>
      <c r="K161">
        <v>3</v>
      </c>
      <c r="L161" s="6">
        <f t="shared" si="7"/>
        <v>5.3571428571428568E-2</v>
      </c>
      <c r="M161" t="s">
        <v>368</v>
      </c>
      <c r="N161">
        <v>22</v>
      </c>
      <c r="O161">
        <v>4752</v>
      </c>
      <c r="P161">
        <v>42</v>
      </c>
      <c r="R161">
        <v>42</v>
      </c>
      <c r="S161" s="3">
        <f t="shared" si="8"/>
        <v>0</v>
      </c>
      <c r="T161">
        <v>4</v>
      </c>
      <c r="U161">
        <v>83</v>
      </c>
      <c r="V161">
        <v>77</v>
      </c>
      <c r="W161" t="s">
        <v>38</v>
      </c>
      <c r="X161" t="s">
        <v>34</v>
      </c>
      <c r="Y161">
        <v>41</v>
      </c>
      <c r="Z161">
        <v>12</v>
      </c>
      <c r="AA161">
        <v>16</v>
      </c>
      <c r="AB161">
        <v>30</v>
      </c>
      <c r="AC161">
        <v>88427</v>
      </c>
    </row>
    <row r="162" spans="1:29" x14ac:dyDescent="0.35">
      <c r="A162" t="s">
        <v>369</v>
      </c>
      <c r="B162" t="s">
        <v>70</v>
      </c>
      <c r="C162" t="s">
        <v>30</v>
      </c>
      <c r="D162" s="4">
        <v>45304</v>
      </c>
      <c r="E162" s="4">
        <v>45348</v>
      </c>
      <c r="F162" s="5">
        <f t="shared" si="6"/>
        <v>44</v>
      </c>
      <c r="G162">
        <v>45729</v>
      </c>
      <c r="H162" t="s">
        <v>31</v>
      </c>
      <c r="I162">
        <v>123</v>
      </c>
      <c r="J162">
        <v>7</v>
      </c>
      <c r="K162">
        <v>7</v>
      </c>
      <c r="L162" s="6">
        <f t="shared" si="7"/>
        <v>5.6910569105691054E-2</v>
      </c>
      <c r="M162" t="s">
        <v>370</v>
      </c>
      <c r="N162">
        <v>58</v>
      </c>
      <c r="O162">
        <v>8448</v>
      </c>
      <c r="P162">
        <v>60</v>
      </c>
      <c r="R162">
        <v>66</v>
      </c>
      <c r="S162" s="3">
        <f t="shared" si="8"/>
        <v>6</v>
      </c>
      <c r="T162">
        <v>5</v>
      </c>
      <c r="U162">
        <v>97</v>
      </c>
      <c r="V162">
        <v>65</v>
      </c>
      <c r="W162" t="s">
        <v>38</v>
      </c>
      <c r="X162" t="s">
        <v>46</v>
      </c>
      <c r="Y162">
        <v>41</v>
      </c>
      <c r="Z162">
        <v>13</v>
      </c>
      <c r="AA162">
        <v>2</v>
      </c>
      <c r="AB162">
        <v>30</v>
      </c>
      <c r="AC162">
        <v>30090</v>
      </c>
    </row>
    <row r="163" spans="1:29" x14ac:dyDescent="0.35">
      <c r="A163" t="s">
        <v>371</v>
      </c>
      <c r="B163" t="s">
        <v>58</v>
      </c>
      <c r="C163" t="s">
        <v>63</v>
      </c>
      <c r="D163" s="4">
        <v>45602</v>
      </c>
      <c r="E163" s="4">
        <v>45631</v>
      </c>
      <c r="F163" s="5">
        <f t="shared" si="6"/>
        <v>29</v>
      </c>
      <c r="G163">
        <v>7046</v>
      </c>
      <c r="H163" t="s">
        <v>55</v>
      </c>
      <c r="I163">
        <v>198</v>
      </c>
      <c r="J163">
        <v>16</v>
      </c>
      <c r="K163">
        <v>9</v>
      </c>
      <c r="L163" s="6">
        <f t="shared" si="7"/>
        <v>4.5454545454545456E-2</v>
      </c>
      <c r="M163" t="s">
        <v>372</v>
      </c>
      <c r="N163">
        <v>67</v>
      </c>
      <c r="O163">
        <v>13158</v>
      </c>
      <c r="P163">
        <v>57</v>
      </c>
      <c r="R163">
        <v>59</v>
      </c>
      <c r="S163" s="3">
        <f t="shared" si="8"/>
        <v>2</v>
      </c>
      <c r="T163">
        <v>2</v>
      </c>
      <c r="U163">
        <v>75</v>
      </c>
      <c r="V163">
        <v>70</v>
      </c>
      <c r="W163" t="s">
        <v>38</v>
      </c>
      <c r="X163" t="s">
        <v>34</v>
      </c>
      <c r="Y163">
        <v>56</v>
      </c>
      <c r="Z163">
        <v>6</v>
      </c>
      <c r="AA163">
        <v>24</v>
      </c>
      <c r="AB163">
        <v>30</v>
      </c>
      <c r="AC163">
        <v>41784</v>
      </c>
    </row>
    <row r="164" spans="1:29" x14ac:dyDescent="0.35">
      <c r="A164" t="s">
        <v>373</v>
      </c>
      <c r="B164" t="s">
        <v>40</v>
      </c>
      <c r="C164" t="s">
        <v>48</v>
      </c>
      <c r="D164" s="4">
        <v>45359</v>
      </c>
      <c r="E164" s="4">
        <v>45394</v>
      </c>
      <c r="F164" s="5">
        <f t="shared" si="6"/>
        <v>35</v>
      </c>
      <c r="G164">
        <v>47308</v>
      </c>
      <c r="H164" t="s">
        <v>41</v>
      </c>
      <c r="I164">
        <v>73</v>
      </c>
      <c r="J164">
        <v>5</v>
      </c>
      <c r="K164">
        <v>3</v>
      </c>
      <c r="L164" s="6">
        <f t="shared" si="7"/>
        <v>4.1095890410958902E-2</v>
      </c>
      <c r="M164" t="s">
        <v>374</v>
      </c>
      <c r="N164">
        <v>66</v>
      </c>
      <c r="O164">
        <v>4721</v>
      </c>
      <c r="P164">
        <v>54</v>
      </c>
      <c r="R164">
        <v>74</v>
      </c>
      <c r="S164" s="3">
        <f t="shared" si="8"/>
        <v>20</v>
      </c>
      <c r="T164">
        <v>1</v>
      </c>
      <c r="U164">
        <v>81</v>
      </c>
      <c r="V164">
        <v>72</v>
      </c>
      <c r="W164" t="s">
        <v>33</v>
      </c>
      <c r="X164" t="s">
        <v>34</v>
      </c>
      <c r="Y164">
        <v>44</v>
      </c>
      <c r="Z164">
        <v>10</v>
      </c>
      <c r="AA164">
        <v>24</v>
      </c>
      <c r="AB164">
        <v>30</v>
      </c>
      <c r="AC164">
        <v>43923</v>
      </c>
    </row>
    <row r="165" spans="1:29" x14ac:dyDescent="0.35">
      <c r="A165" t="s">
        <v>375</v>
      </c>
      <c r="B165" t="s">
        <v>75</v>
      </c>
      <c r="C165" t="s">
        <v>30</v>
      </c>
      <c r="D165" s="4">
        <v>45361</v>
      </c>
      <c r="E165" s="4">
        <v>45411</v>
      </c>
      <c r="F165" s="5">
        <f t="shared" si="6"/>
        <v>50</v>
      </c>
      <c r="G165">
        <v>17605</v>
      </c>
      <c r="H165" t="s">
        <v>55</v>
      </c>
      <c r="I165">
        <v>161</v>
      </c>
      <c r="J165">
        <v>5</v>
      </c>
      <c r="K165">
        <v>2</v>
      </c>
      <c r="L165" s="6">
        <f t="shared" si="7"/>
        <v>1.2422360248447204E-2</v>
      </c>
      <c r="M165" t="s">
        <v>376</v>
      </c>
      <c r="N165">
        <v>77</v>
      </c>
      <c r="O165">
        <v>9273</v>
      </c>
      <c r="P165">
        <v>43</v>
      </c>
      <c r="R165">
        <v>53</v>
      </c>
      <c r="S165" s="3">
        <f t="shared" si="8"/>
        <v>10</v>
      </c>
      <c r="T165">
        <v>4</v>
      </c>
      <c r="U165">
        <v>86</v>
      </c>
      <c r="V165">
        <v>93</v>
      </c>
      <c r="W165" t="s">
        <v>33</v>
      </c>
      <c r="X165" t="s">
        <v>34</v>
      </c>
      <c r="Y165">
        <v>49</v>
      </c>
      <c r="Z165">
        <v>9</v>
      </c>
      <c r="AA165">
        <v>10</v>
      </c>
      <c r="AB165">
        <v>30</v>
      </c>
      <c r="AC165">
        <v>57868</v>
      </c>
    </row>
    <row r="166" spans="1:29" x14ac:dyDescent="0.35">
      <c r="A166" t="s">
        <v>377</v>
      </c>
      <c r="B166" t="s">
        <v>29</v>
      </c>
      <c r="C166" t="s">
        <v>48</v>
      </c>
      <c r="D166" s="4">
        <v>45321</v>
      </c>
      <c r="E166" s="4">
        <v>45380</v>
      </c>
      <c r="F166" s="5">
        <f t="shared" si="6"/>
        <v>59</v>
      </c>
      <c r="G166">
        <v>30604</v>
      </c>
      <c r="H166" t="s">
        <v>55</v>
      </c>
      <c r="I166">
        <v>190</v>
      </c>
      <c r="J166">
        <v>8</v>
      </c>
      <c r="K166">
        <v>6</v>
      </c>
      <c r="L166" s="6">
        <f t="shared" si="7"/>
        <v>3.1578947368421054E-2</v>
      </c>
      <c r="M166" t="s">
        <v>378</v>
      </c>
      <c r="N166">
        <v>6</v>
      </c>
      <c r="O166">
        <v>18800</v>
      </c>
      <c r="P166">
        <v>54</v>
      </c>
      <c r="R166">
        <v>76</v>
      </c>
      <c r="S166" s="3">
        <f t="shared" si="8"/>
        <v>22</v>
      </c>
      <c r="T166">
        <v>5</v>
      </c>
      <c r="U166">
        <v>86</v>
      </c>
      <c r="V166">
        <v>68</v>
      </c>
      <c r="W166" t="s">
        <v>38</v>
      </c>
      <c r="X166" t="s">
        <v>34</v>
      </c>
      <c r="Y166">
        <v>41</v>
      </c>
      <c r="Z166">
        <v>10</v>
      </c>
      <c r="AA166">
        <v>2</v>
      </c>
      <c r="AB166">
        <v>30</v>
      </c>
      <c r="AC166">
        <v>58545</v>
      </c>
    </row>
    <row r="167" spans="1:29" x14ac:dyDescent="0.35">
      <c r="A167" t="s">
        <v>379</v>
      </c>
      <c r="B167" t="s">
        <v>75</v>
      </c>
      <c r="C167" t="s">
        <v>51</v>
      </c>
      <c r="D167" s="4">
        <v>45564</v>
      </c>
      <c r="E167" s="4">
        <v>45613</v>
      </c>
      <c r="F167" s="5">
        <f t="shared" si="6"/>
        <v>49</v>
      </c>
      <c r="G167">
        <v>49460</v>
      </c>
      <c r="H167" t="s">
        <v>55</v>
      </c>
      <c r="I167">
        <v>175</v>
      </c>
      <c r="J167">
        <v>8</v>
      </c>
      <c r="K167">
        <v>4</v>
      </c>
      <c r="L167" s="6">
        <f t="shared" si="7"/>
        <v>2.2857142857142857E-2</v>
      </c>
      <c r="M167" t="s">
        <v>380</v>
      </c>
      <c r="N167">
        <v>33</v>
      </c>
      <c r="O167">
        <v>25946</v>
      </c>
      <c r="P167">
        <v>62</v>
      </c>
      <c r="R167">
        <v>85</v>
      </c>
      <c r="S167" s="3">
        <f t="shared" si="8"/>
        <v>23</v>
      </c>
      <c r="T167">
        <v>4</v>
      </c>
      <c r="U167">
        <v>92</v>
      </c>
      <c r="V167">
        <v>78</v>
      </c>
      <c r="W167" t="s">
        <v>33</v>
      </c>
      <c r="X167" t="s">
        <v>34</v>
      </c>
      <c r="Y167">
        <v>58</v>
      </c>
      <c r="Z167">
        <v>1</v>
      </c>
      <c r="AA167">
        <v>16</v>
      </c>
      <c r="AB167">
        <v>30</v>
      </c>
      <c r="AC167">
        <v>68087</v>
      </c>
    </row>
    <row r="168" spans="1:29" x14ac:dyDescent="0.35">
      <c r="A168" t="s">
        <v>381</v>
      </c>
      <c r="B168" t="s">
        <v>70</v>
      </c>
      <c r="C168" t="s">
        <v>63</v>
      </c>
      <c r="D168" s="4">
        <v>45556</v>
      </c>
      <c r="E168" s="4">
        <v>45566</v>
      </c>
      <c r="F168" s="5">
        <f t="shared" si="6"/>
        <v>10</v>
      </c>
      <c r="G168">
        <v>30369</v>
      </c>
      <c r="H168" t="s">
        <v>55</v>
      </c>
      <c r="I168">
        <v>31</v>
      </c>
      <c r="J168">
        <v>4</v>
      </c>
      <c r="K168">
        <v>1</v>
      </c>
      <c r="L168" s="6">
        <f t="shared" si="7"/>
        <v>3.2258064516129031E-2</v>
      </c>
      <c r="M168" t="s">
        <v>382</v>
      </c>
      <c r="N168">
        <v>0</v>
      </c>
      <c r="O168">
        <v>23562</v>
      </c>
      <c r="P168">
        <v>47</v>
      </c>
      <c r="R168">
        <v>49</v>
      </c>
      <c r="S168" s="3">
        <f t="shared" si="8"/>
        <v>2</v>
      </c>
      <c r="T168">
        <v>2</v>
      </c>
      <c r="U168">
        <v>97</v>
      </c>
      <c r="V168">
        <v>71</v>
      </c>
      <c r="W168" t="s">
        <v>38</v>
      </c>
      <c r="X168" t="s">
        <v>46</v>
      </c>
      <c r="Y168">
        <v>46</v>
      </c>
      <c r="Z168">
        <v>7</v>
      </c>
      <c r="AA168">
        <v>13</v>
      </c>
      <c r="AB168">
        <v>30</v>
      </c>
      <c r="AC168">
        <v>109034</v>
      </c>
    </row>
    <row r="169" spans="1:29" x14ac:dyDescent="0.35">
      <c r="A169" t="s">
        <v>383</v>
      </c>
      <c r="B169" t="s">
        <v>40</v>
      </c>
      <c r="C169" t="s">
        <v>30</v>
      </c>
      <c r="D169" s="4">
        <v>45565</v>
      </c>
      <c r="E169" s="4">
        <v>45592</v>
      </c>
      <c r="F169" s="5">
        <f t="shared" si="6"/>
        <v>27</v>
      </c>
      <c r="G169">
        <v>10398</v>
      </c>
      <c r="H169" t="s">
        <v>31</v>
      </c>
      <c r="I169">
        <v>15</v>
      </c>
      <c r="J169">
        <v>13</v>
      </c>
      <c r="K169">
        <v>7</v>
      </c>
      <c r="L169" s="6">
        <f t="shared" si="7"/>
        <v>0.46666666666666667</v>
      </c>
      <c r="M169" t="s">
        <v>384</v>
      </c>
      <c r="N169">
        <v>35</v>
      </c>
      <c r="O169">
        <v>3105</v>
      </c>
      <c r="P169">
        <v>64</v>
      </c>
      <c r="R169">
        <v>68</v>
      </c>
      <c r="S169" s="3">
        <f t="shared" si="8"/>
        <v>4</v>
      </c>
      <c r="T169">
        <v>3</v>
      </c>
      <c r="U169">
        <v>87</v>
      </c>
      <c r="V169">
        <v>69</v>
      </c>
      <c r="W169" t="s">
        <v>38</v>
      </c>
      <c r="X169" t="s">
        <v>46</v>
      </c>
      <c r="Y169">
        <v>37</v>
      </c>
      <c r="Z169">
        <v>17</v>
      </c>
      <c r="AA169">
        <v>17</v>
      </c>
      <c r="AB169">
        <v>30</v>
      </c>
      <c r="AC169">
        <v>98853</v>
      </c>
    </row>
    <row r="170" spans="1:29" x14ac:dyDescent="0.35">
      <c r="A170" t="s">
        <v>385</v>
      </c>
      <c r="B170" t="s">
        <v>40</v>
      </c>
      <c r="C170" t="s">
        <v>89</v>
      </c>
      <c r="D170" s="4">
        <v>45587</v>
      </c>
      <c r="E170" s="4">
        <v>45644</v>
      </c>
      <c r="F170" s="5">
        <f t="shared" si="6"/>
        <v>57</v>
      </c>
      <c r="G170">
        <v>29548</v>
      </c>
      <c r="H170" t="s">
        <v>44</v>
      </c>
      <c r="I170">
        <v>75</v>
      </c>
      <c r="J170">
        <v>7</v>
      </c>
      <c r="K170">
        <v>4</v>
      </c>
      <c r="L170" s="6">
        <f t="shared" si="7"/>
        <v>5.3333333333333337E-2</v>
      </c>
      <c r="M170" t="s">
        <v>386</v>
      </c>
      <c r="N170">
        <v>78</v>
      </c>
      <c r="O170">
        <v>12674</v>
      </c>
      <c r="P170">
        <v>54</v>
      </c>
      <c r="R170">
        <v>68</v>
      </c>
      <c r="S170" s="3">
        <f t="shared" si="8"/>
        <v>14</v>
      </c>
      <c r="T170">
        <v>3</v>
      </c>
      <c r="U170">
        <v>78</v>
      </c>
      <c r="V170">
        <v>83</v>
      </c>
      <c r="W170" t="s">
        <v>38</v>
      </c>
      <c r="X170" t="s">
        <v>46</v>
      </c>
      <c r="Y170">
        <v>55</v>
      </c>
      <c r="Z170">
        <v>13</v>
      </c>
      <c r="AA170">
        <v>5</v>
      </c>
      <c r="AB170">
        <v>30</v>
      </c>
      <c r="AC170">
        <v>75680</v>
      </c>
    </row>
    <row r="171" spans="1:29" x14ac:dyDescent="0.35">
      <c r="A171" t="s">
        <v>387</v>
      </c>
      <c r="B171" t="s">
        <v>75</v>
      </c>
      <c r="C171" t="s">
        <v>48</v>
      </c>
      <c r="D171" s="4">
        <v>45647</v>
      </c>
      <c r="E171" s="4">
        <v>45660</v>
      </c>
      <c r="F171" s="5">
        <f t="shared" si="6"/>
        <v>13</v>
      </c>
      <c r="G171">
        <v>24469</v>
      </c>
      <c r="H171" t="s">
        <v>41</v>
      </c>
      <c r="I171">
        <v>128</v>
      </c>
      <c r="J171">
        <v>17</v>
      </c>
      <c r="K171">
        <v>6</v>
      </c>
      <c r="L171" s="6">
        <f t="shared" si="7"/>
        <v>4.6875E-2</v>
      </c>
      <c r="M171" t="s">
        <v>388</v>
      </c>
      <c r="N171">
        <v>76</v>
      </c>
      <c r="O171">
        <v>19196</v>
      </c>
      <c r="P171">
        <v>82</v>
      </c>
      <c r="R171">
        <v>85</v>
      </c>
      <c r="S171" s="3">
        <f t="shared" si="8"/>
        <v>3</v>
      </c>
      <c r="T171">
        <v>4</v>
      </c>
      <c r="U171">
        <v>95</v>
      </c>
      <c r="V171">
        <v>51</v>
      </c>
      <c r="W171" t="s">
        <v>33</v>
      </c>
      <c r="X171" t="s">
        <v>34</v>
      </c>
      <c r="Y171">
        <v>36</v>
      </c>
      <c r="Z171">
        <v>21</v>
      </c>
      <c r="AA171">
        <v>9</v>
      </c>
      <c r="AB171">
        <v>30</v>
      </c>
      <c r="AC171">
        <v>116475</v>
      </c>
    </row>
    <row r="172" spans="1:29" x14ac:dyDescent="0.35">
      <c r="A172" t="s">
        <v>389</v>
      </c>
      <c r="B172" t="s">
        <v>75</v>
      </c>
      <c r="C172" t="s">
        <v>51</v>
      </c>
      <c r="D172" s="4">
        <v>45656</v>
      </c>
      <c r="E172" s="4">
        <v>45713</v>
      </c>
      <c r="F172" s="5">
        <f t="shared" si="6"/>
        <v>57</v>
      </c>
      <c r="G172">
        <v>26854</v>
      </c>
      <c r="H172" t="s">
        <v>41</v>
      </c>
      <c r="I172">
        <v>188</v>
      </c>
      <c r="J172">
        <v>10</v>
      </c>
      <c r="K172">
        <v>6</v>
      </c>
      <c r="L172" s="6">
        <f t="shared" si="7"/>
        <v>3.1914893617021274E-2</v>
      </c>
      <c r="M172" t="s">
        <v>390</v>
      </c>
      <c r="N172">
        <v>75</v>
      </c>
      <c r="O172">
        <v>14260</v>
      </c>
      <c r="P172">
        <v>50</v>
      </c>
      <c r="R172">
        <v>55</v>
      </c>
      <c r="S172" s="3">
        <f t="shared" si="8"/>
        <v>5</v>
      </c>
      <c r="T172">
        <v>5</v>
      </c>
      <c r="U172">
        <v>75</v>
      </c>
      <c r="V172">
        <v>53</v>
      </c>
      <c r="W172" t="s">
        <v>38</v>
      </c>
      <c r="X172" t="s">
        <v>34</v>
      </c>
      <c r="Y172">
        <v>31</v>
      </c>
      <c r="Z172">
        <v>14</v>
      </c>
      <c r="AA172">
        <v>12</v>
      </c>
      <c r="AB172">
        <v>30</v>
      </c>
      <c r="AC172">
        <v>90183</v>
      </c>
    </row>
    <row r="173" spans="1:29" x14ac:dyDescent="0.35">
      <c r="A173" t="s">
        <v>391</v>
      </c>
      <c r="B173" t="s">
        <v>75</v>
      </c>
      <c r="C173" t="s">
        <v>54</v>
      </c>
      <c r="D173" s="4">
        <v>45434</v>
      </c>
      <c r="E173" s="4">
        <v>45464</v>
      </c>
      <c r="F173" s="5">
        <f t="shared" si="6"/>
        <v>30</v>
      </c>
      <c r="G173">
        <v>14095</v>
      </c>
      <c r="H173" t="s">
        <v>44</v>
      </c>
      <c r="I173">
        <v>116</v>
      </c>
      <c r="J173">
        <v>6</v>
      </c>
      <c r="K173">
        <v>4</v>
      </c>
      <c r="L173" s="6">
        <f t="shared" si="7"/>
        <v>3.4482758620689655E-2</v>
      </c>
      <c r="M173" t="s">
        <v>392</v>
      </c>
      <c r="N173">
        <v>42</v>
      </c>
      <c r="O173">
        <v>22993</v>
      </c>
      <c r="P173">
        <v>58</v>
      </c>
      <c r="R173">
        <v>60</v>
      </c>
      <c r="S173" s="3">
        <f t="shared" si="8"/>
        <v>2</v>
      </c>
      <c r="T173">
        <v>4</v>
      </c>
      <c r="U173">
        <v>79</v>
      </c>
      <c r="V173">
        <v>89</v>
      </c>
      <c r="W173" t="s">
        <v>33</v>
      </c>
      <c r="X173" t="s">
        <v>46</v>
      </c>
      <c r="Y173">
        <v>58</v>
      </c>
      <c r="Z173">
        <v>10</v>
      </c>
      <c r="AA173">
        <v>17</v>
      </c>
      <c r="AB173">
        <v>30</v>
      </c>
      <c r="AC173">
        <v>97877</v>
      </c>
    </row>
    <row r="174" spans="1:29" x14ac:dyDescent="0.35">
      <c r="A174" t="s">
        <v>393</v>
      </c>
      <c r="B174" t="s">
        <v>29</v>
      </c>
      <c r="C174" t="s">
        <v>54</v>
      </c>
      <c r="D174" s="4">
        <v>45323</v>
      </c>
      <c r="E174" s="4">
        <v>45366</v>
      </c>
      <c r="F174" s="5">
        <f t="shared" si="6"/>
        <v>43</v>
      </c>
      <c r="G174">
        <v>37598</v>
      </c>
      <c r="H174" t="s">
        <v>36</v>
      </c>
      <c r="I174">
        <v>30</v>
      </c>
      <c r="J174">
        <v>17</v>
      </c>
      <c r="K174">
        <v>3</v>
      </c>
      <c r="L174" s="6">
        <f t="shared" si="7"/>
        <v>0.1</v>
      </c>
      <c r="M174" t="s">
        <v>394</v>
      </c>
      <c r="N174">
        <v>11</v>
      </c>
      <c r="O174">
        <v>27991</v>
      </c>
      <c r="P174">
        <v>65</v>
      </c>
      <c r="R174">
        <v>65</v>
      </c>
      <c r="S174" s="3">
        <f t="shared" si="8"/>
        <v>0</v>
      </c>
      <c r="T174">
        <v>2</v>
      </c>
      <c r="U174">
        <v>85</v>
      </c>
      <c r="V174">
        <v>67</v>
      </c>
      <c r="W174" t="s">
        <v>33</v>
      </c>
      <c r="X174" t="s">
        <v>34</v>
      </c>
      <c r="Y174">
        <v>37</v>
      </c>
      <c r="Z174">
        <v>9</v>
      </c>
      <c r="AA174">
        <v>3</v>
      </c>
      <c r="AB174">
        <v>30</v>
      </c>
      <c r="AC174">
        <v>45376</v>
      </c>
    </row>
    <row r="175" spans="1:29" x14ac:dyDescent="0.35">
      <c r="A175" t="s">
        <v>395</v>
      </c>
      <c r="B175" t="s">
        <v>29</v>
      </c>
      <c r="C175" t="s">
        <v>54</v>
      </c>
      <c r="D175" s="4">
        <v>45516</v>
      </c>
      <c r="E175" s="4">
        <v>45542</v>
      </c>
      <c r="F175" s="5">
        <f t="shared" si="6"/>
        <v>26</v>
      </c>
      <c r="G175">
        <v>42962</v>
      </c>
      <c r="H175" t="s">
        <v>55</v>
      </c>
      <c r="I175">
        <v>79</v>
      </c>
      <c r="J175">
        <v>9</v>
      </c>
      <c r="K175">
        <v>8</v>
      </c>
      <c r="L175" s="6">
        <f t="shared" si="7"/>
        <v>0.10126582278481013</v>
      </c>
      <c r="M175" t="s">
        <v>396</v>
      </c>
      <c r="N175">
        <v>21</v>
      </c>
      <c r="O175">
        <v>13503</v>
      </c>
      <c r="P175">
        <v>66</v>
      </c>
      <c r="R175">
        <v>70</v>
      </c>
      <c r="S175" s="3">
        <f t="shared" si="8"/>
        <v>4</v>
      </c>
      <c r="T175">
        <v>5</v>
      </c>
      <c r="U175">
        <v>93</v>
      </c>
      <c r="V175">
        <v>73</v>
      </c>
      <c r="W175" t="s">
        <v>38</v>
      </c>
      <c r="X175" t="s">
        <v>34</v>
      </c>
      <c r="Y175">
        <v>51</v>
      </c>
      <c r="Z175">
        <v>5</v>
      </c>
      <c r="AA175">
        <v>16</v>
      </c>
      <c r="AB175">
        <v>30</v>
      </c>
      <c r="AC175">
        <v>80721</v>
      </c>
    </row>
    <row r="176" spans="1:29" x14ac:dyDescent="0.35">
      <c r="A176" t="s">
        <v>397</v>
      </c>
      <c r="B176" t="s">
        <v>29</v>
      </c>
      <c r="C176" t="s">
        <v>51</v>
      </c>
      <c r="D176" s="4">
        <v>45597</v>
      </c>
      <c r="E176" s="4">
        <v>45642</v>
      </c>
      <c r="F176" s="5">
        <f t="shared" si="6"/>
        <v>45</v>
      </c>
      <c r="G176">
        <v>47442</v>
      </c>
      <c r="H176" t="s">
        <v>44</v>
      </c>
      <c r="I176">
        <v>106</v>
      </c>
      <c r="J176">
        <v>8</v>
      </c>
      <c r="K176">
        <v>5</v>
      </c>
      <c r="L176" s="6">
        <f t="shared" si="7"/>
        <v>4.716981132075472E-2</v>
      </c>
      <c r="M176" t="s">
        <v>398</v>
      </c>
      <c r="N176">
        <v>56</v>
      </c>
      <c r="O176">
        <v>4987</v>
      </c>
      <c r="P176">
        <v>71</v>
      </c>
      <c r="R176">
        <v>88</v>
      </c>
      <c r="S176" s="3">
        <f t="shared" si="8"/>
        <v>17</v>
      </c>
      <c r="T176">
        <v>5</v>
      </c>
      <c r="U176">
        <v>90</v>
      </c>
      <c r="V176">
        <v>88</v>
      </c>
      <c r="W176" t="s">
        <v>38</v>
      </c>
      <c r="X176" t="s">
        <v>34</v>
      </c>
      <c r="Y176">
        <v>43</v>
      </c>
      <c r="Z176">
        <v>23</v>
      </c>
      <c r="AA176">
        <v>2</v>
      </c>
      <c r="AB176">
        <v>30</v>
      </c>
      <c r="AC176">
        <v>26365</v>
      </c>
    </row>
    <row r="177" spans="1:29" x14ac:dyDescent="0.35">
      <c r="A177" t="s">
        <v>399</v>
      </c>
      <c r="B177" t="s">
        <v>58</v>
      </c>
      <c r="C177" t="s">
        <v>54</v>
      </c>
      <c r="D177" s="4">
        <v>45770</v>
      </c>
      <c r="E177" s="4">
        <v>45802</v>
      </c>
      <c r="F177" s="5">
        <f t="shared" si="6"/>
        <v>32</v>
      </c>
      <c r="G177">
        <v>32962</v>
      </c>
      <c r="H177" t="s">
        <v>55</v>
      </c>
      <c r="I177">
        <v>37</v>
      </c>
      <c r="J177">
        <v>4</v>
      </c>
      <c r="K177">
        <v>1</v>
      </c>
      <c r="L177" s="6">
        <f t="shared" si="7"/>
        <v>2.7027027027027029E-2</v>
      </c>
      <c r="M177" t="s">
        <v>400</v>
      </c>
      <c r="N177">
        <v>15</v>
      </c>
      <c r="O177">
        <v>12938</v>
      </c>
      <c r="P177">
        <v>47</v>
      </c>
      <c r="R177">
        <v>65</v>
      </c>
      <c r="S177" s="3">
        <f t="shared" si="8"/>
        <v>18</v>
      </c>
      <c r="T177">
        <v>4</v>
      </c>
      <c r="U177">
        <v>89</v>
      </c>
      <c r="V177">
        <v>87</v>
      </c>
      <c r="W177" t="s">
        <v>38</v>
      </c>
      <c r="X177" t="s">
        <v>34</v>
      </c>
      <c r="Y177">
        <v>38</v>
      </c>
      <c r="Z177">
        <v>6</v>
      </c>
      <c r="AA177">
        <v>17</v>
      </c>
      <c r="AB177">
        <v>30</v>
      </c>
      <c r="AC177">
        <v>111006</v>
      </c>
    </row>
    <row r="178" spans="1:29" x14ac:dyDescent="0.35">
      <c r="A178" t="s">
        <v>401</v>
      </c>
      <c r="B178" t="s">
        <v>75</v>
      </c>
      <c r="C178" t="s">
        <v>54</v>
      </c>
      <c r="D178" s="4">
        <v>45445</v>
      </c>
      <c r="E178" s="4">
        <v>45474</v>
      </c>
      <c r="F178" s="5">
        <f t="shared" si="6"/>
        <v>29</v>
      </c>
      <c r="G178">
        <v>47469</v>
      </c>
      <c r="H178" t="s">
        <v>36</v>
      </c>
      <c r="I178">
        <v>84</v>
      </c>
      <c r="J178">
        <v>19</v>
      </c>
      <c r="K178">
        <v>2</v>
      </c>
      <c r="L178" s="6">
        <f t="shared" si="7"/>
        <v>2.3809523809523808E-2</v>
      </c>
      <c r="M178" t="s">
        <v>402</v>
      </c>
      <c r="N178">
        <v>39</v>
      </c>
      <c r="O178">
        <v>8309</v>
      </c>
      <c r="P178">
        <v>59</v>
      </c>
      <c r="R178">
        <v>76</v>
      </c>
      <c r="S178" s="3">
        <f t="shared" si="8"/>
        <v>17</v>
      </c>
      <c r="T178">
        <v>4</v>
      </c>
      <c r="U178">
        <v>81</v>
      </c>
      <c r="V178">
        <v>82</v>
      </c>
      <c r="W178" t="s">
        <v>38</v>
      </c>
      <c r="X178" t="s">
        <v>34</v>
      </c>
      <c r="Y178">
        <v>23</v>
      </c>
      <c r="Z178">
        <v>20</v>
      </c>
      <c r="AA178">
        <v>8</v>
      </c>
      <c r="AB178">
        <v>30</v>
      </c>
      <c r="AC178">
        <v>70244</v>
      </c>
    </row>
    <row r="179" spans="1:29" x14ac:dyDescent="0.35">
      <c r="A179" t="s">
        <v>403</v>
      </c>
      <c r="B179" t="s">
        <v>70</v>
      </c>
      <c r="C179" t="s">
        <v>54</v>
      </c>
      <c r="D179" s="4">
        <v>45526</v>
      </c>
      <c r="E179" s="4">
        <v>45561</v>
      </c>
      <c r="F179" s="5">
        <f t="shared" si="6"/>
        <v>35</v>
      </c>
      <c r="G179">
        <v>39438</v>
      </c>
      <c r="H179" t="s">
        <v>31</v>
      </c>
      <c r="I179">
        <v>61</v>
      </c>
      <c r="J179">
        <v>15</v>
      </c>
      <c r="K179">
        <v>14</v>
      </c>
      <c r="L179" s="6">
        <f t="shared" si="7"/>
        <v>0.22950819672131148</v>
      </c>
      <c r="M179" t="s">
        <v>404</v>
      </c>
      <c r="N179">
        <v>76</v>
      </c>
      <c r="O179">
        <v>26911</v>
      </c>
      <c r="P179">
        <v>46</v>
      </c>
      <c r="R179">
        <v>64</v>
      </c>
      <c r="S179" s="3">
        <f t="shared" si="8"/>
        <v>18</v>
      </c>
      <c r="T179">
        <v>3</v>
      </c>
      <c r="U179">
        <v>100</v>
      </c>
      <c r="V179">
        <v>93</v>
      </c>
      <c r="W179" t="s">
        <v>38</v>
      </c>
      <c r="X179" t="s">
        <v>46</v>
      </c>
      <c r="Y179">
        <v>48</v>
      </c>
      <c r="Z179">
        <v>2</v>
      </c>
      <c r="AA179">
        <v>3</v>
      </c>
      <c r="AB179">
        <v>30</v>
      </c>
      <c r="AC179">
        <v>30607</v>
      </c>
    </row>
    <row r="180" spans="1:29" x14ac:dyDescent="0.35">
      <c r="A180" t="s">
        <v>405</v>
      </c>
      <c r="B180" t="s">
        <v>29</v>
      </c>
      <c r="C180" t="s">
        <v>48</v>
      </c>
      <c r="D180" s="4">
        <v>45676</v>
      </c>
      <c r="E180" s="4">
        <v>45710</v>
      </c>
      <c r="F180" s="5">
        <f t="shared" si="6"/>
        <v>34</v>
      </c>
      <c r="G180">
        <v>11673</v>
      </c>
      <c r="H180" t="s">
        <v>44</v>
      </c>
      <c r="I180">
        <v>74</v>
      </c>
      <c r="J180">
        <v>14</v>
      </c>
      <c r="K180">
        <v>2</v>
      </c>
      <c r="L180" s="6">
        <f t="shared" si="7"/>
        <v>2.7027027027027029E-2</v>
      </c>
      <c r="M180" t="s">
        <v>406</v>
      </c>
      <c r="N180">
        <v>56</v>
      </c>
      <c r="O180">
        <v>8624</v>
      </c>
      <c r="P180">
        <v>84</v>
      </c>
      <c r="R180">
        <v>94</v>
      </c>
      <c r="S180" s="3">
        <f t="shared" si="8"/>
        <v>10</v>
      </c>
      <c r="T180">
        <v>4</v>
      </c>
      <c r="U180">
        <v>87</v>
      </c>
      <c r="V180">
        <v>75</v>
      </c>
      <c r="W180" t="s">
        <v>38</v>
      </c>
      <c r="X180" t="s">
        <v>46</v>
      </c>
      <c r="Y180">
        <v>44</v>
      </c>
      <c r="Z180">
        <v>24</v>
      </c>
      <c r="AA180">
        <v>0</v>
      </c>
      <c r="AB180">
        <v>30</v>
      </c>
      <c r="AC180">
        <v>68710</v>
      </c>
    </row>
    <row r="181" spans="1:29" x14ac:dyDescent="0.35">
      <c r="A181" t="s">
        <v>407</v>
      </c>
      <c r="B181" t="s">
        <v>75</v>
      </c>
      <c r="C181" t="s">
        <v>89</v>
      </c>
      <c r="D181" s="4">
        <v>45499</v>
      </c>
      <c r="E181" s="4">
        <v>45519</v>
      </c>
      <c r="F181" s="5">
        <f t="shared" si="6"/>
        <v>20</v>
      </c>
      <c r="G181">
        <v>38521</v>
      </c>
      <c r="H181" t="s">
        <v>55</v>
      </c>
      <c r="I181">
        <v>80</v>
      </c>
      <c r="J181">
        <v>7</v>
      </c>
      <c r="K181">
        <v>5</v>
      </c>
      <c r="L181" s="6">
        <f t="shared" si="7"/>
        <v>6.25E-2</v>
      </c>
      <c r="M181" t="s">
        <v>408</v>
      </c>
      <c r="N181">
        <v>41</v>
      </c>
      <c r="O181">
        <v>29600</v>
      </c>
      <c r="P181">
        <v>40</v>
      </c>
      <c r="R181">
        <v>40</v>
      </c>
      <c r="S181" s="3">
        <f t="shared" si="8"/>
        <v>0</v>
      </c>
      <c r="T181">
        <v>5</v>
      </c>
      <c r="U181">
        <v>77</v>
      </c>
      <c r="V181">
        <v>88</v>
      </c>
      <c r="W181" t="s">
        <v>38</v>
      </c>
      <c r="X181" t="s">
        <v>34</v>
      </c>
      <c r="Y181">
        <v>37</v>
      </c>
      <c r="Z181">
        <v>14</v>
      </c>
      <c r="AA181">
        <v>1</v>
      </c>
      <c r="AB181">
        <v>30</v>
      </c>
      <c r="AC181">
        <v>76244</v>
      </c>
    </row>
    <row r="182" spans="1:29" x14ac:dyDescent="0.35">
      <c r="A182" t="s">
        <v>409</v>
      </c>
      <c r="B182" t="s">
        <v>75</v>
      </c>
      <c r="C182" t="s">
        <v>54</v>
      </c>
      <c r="D182" s="4">
        <v>45443</v>
      </c>
      <c r="E182" s="4">
        <v>45472</v>
      </c>
      <c r="F182" s="5">
        <f t="shared" si="6"/>
        <v>29</v>
      </c>
      <c r="G182">
        <v>32899</v>
      </c>
      <c r="H182" t="s">
        <v>36</v>
      </c>
      <c r="I182">
        <v>44</v>
      </c>
      <c r="J182">
        <v>19</v>
      </c>
      <c r="K182">
        <v>6</v>
      </c>
      <c r="L182" s="6">
        <f t="shared" si="7"/>
        <v>0.13636363636363635</v>
      </c>
      <c r="M182" t="s">
        <v>410</v>
      </c>
      <c r="N182">
        <v>46</v>
      </c>
      <c r="O182">
        <v>28854</v>
      </c>
      <c r="P182">
        <v>56</v>
      </c>
      <c r="R182">
        <v>79</v>
      </c>
      <c r="S182" s="3">
        <f t="shared" si="8"/>
        <v>23</v>
      </c>
      <c r="T182">
        <v>1</v>
      </c>
      <c r="U182">
        <v>84</v>
      </c>
      <c r="V182">
        <v>98</v>
      </c>
      <c r="W182" t="s">
        <v>38</v>
      </c>
      <c r="X182" t="s">
        <v>34</v>
      </c>
      <c r="Y182">
        <v>30</v>
      </c>
      <c r="Z182">
        <v>13</v>
      </c>
      <c r="AA182">
        <v>1</v>
      </c>
      <c r="AB182">
        <v>30</v>
      </c>
      <c r="AC182">
        <v>71444</v>
      </c>
    </row>
    <row r="183" spans="1:29" x14ac:dyDescent="0.35">
      <c r="A183" t="s">
        <v>411</v>
      </c>
      <c r="B183" t="s">
        <v>75</v>
      </c>
      <c r="C183" t="s">
        <v>51</v>
      </c>
      <c r="D183" s="4">
        <v>45646</v>
      </c>
      <c r="E183" s="4">
        <v>45700</v>
      </c>
      <c r="F183" s="5">
        <f t="shared" si="6"/>
        <v>54</v>
      </c>
      <c r="G183">
        <v>47446</v>
      </c>
      <c r="H183" t="s">
        <v>36</v>
      </c>
      <c r="I183">
        <v>28</v>
      </c>
      <c r="J183">
        <v>3</v>
      </c>
      <c r="K183">
        <v>3</v>
      </c>
      <c r="L183" s="6">
        <f t="shared" si="7"/>
        <v>0.10714285714285714</v>
      </c>
      <c r="M183" t="s">
        <v>412</v>
      </c>
      <c r="N183">
        <v>11</v>
      </c>
      <c r="O183">
        <v>28425</v>
      </c>
      <c r="P183">
        <v>58</v>
      </c>
      <c r="R183">
        <v>61</v>
      </c>
      <c r="S183" s="3">
        <f t="shared" si="8"/>
        <v>3</v>
      </c>
      <c r="T183">
        <v>2</v>
      </c>
      <c r="U183">
        <v>77</v>
      </c>
      <c r="V183">
        <v>56</v>
      </c>
      <c r="W183" t="s">
        <v>38</v>
      </c>
      <c r="X183" t="s">
        <v>34</v>
      </c>
      <c r="Y183">
        <v>48</v>
      </c>
      <c r="Z183">
        <v>18</v>
      </c>
      <c r="AA183">
        <v>15</v>
      </c>
      <c r="AB183">
        <v>30</v>
      </c>
      <c r="AC183">
        <v>80213</v>
      </c>
    </row>
    <row r="184" spans="1:29" x14ac:dyDescent="0.35">
      <c r="A184" t="s">
        <v>413</v>
      </c>
      <c r="B184" t="s">
        <v>58</v>
      </c>
      <c r="C184" t="s">
        <v>89</v>
      </c>
      <c r="D184" s="4">
        <v>45745</v>
      </c>
      <c r="E184" s="4">
        <v>45798</v>
      </c>
      <c r="F184" s="5">
        <f t="shared" si="6"/>
        <v>53</v>
      </c>
      <c r="G184">
        <v>10009</v>
      </c>
      <c r="H184" t="s">
        <v>55</v>
      </c>
      <c r="I184">
        <v>146</v>
      </c>
      <c r="J184">
        <v>10</v>
      </c>
      <c r="K184">
        <v>8</v>
      </c>
      <c r="L184" s="6">
        <f t="shared" si="7"/>
        <v>5.4794520547945202E-2</v>
      </c>
      <c r="M184" t="s">
        <v>414</v>
      </c>
      <c r="N184">
        <v>35</v>
      </c>
      <c r="O184">
        <v>23244</v>
      </c>
      <c r="P184">
        <v>73</v>
      </c>
      <c r="R184">
        <v>87</v>
      </c>
      <c r="S184" s="3">
        <f t="shared" si="8"/>
        <v>14</v>
      </c>
      <c r="T184">
        <v>5</v>
      </c>
      <c r="U184">
        <v>81</v>
      </c>
      <c r="V184">
        <v>78</v>
      </c>
      <c r="W184" t="s">
        <v>38</v>
      </c>
      <c r="X184" t="s">
        <v>34</v>
      </c>
      <c r="Y184">
        <v>28</v>
      </c>
      <c r="Z184">
        <v>23</v>
      </c>
      <c r="AA184">
        <v>5</v>
      </c>
      <c r="AB184">
        <v>30</v>
      </c>
      <c r="AC184">
        <v>46250</v>
      </c>
    </row>
    <row r="185" spans="1:29" x14ac:dyDescent="0.35">
      <c r="A185" t="s">
        <v>415</v>
      </c>
      <c r="B185" t="s">
        <v>29</v>
      </c>
      <c r="C185" t="s">
        <v>89</v>
      </c>
      <c r="D185" s="4">
        <v>45784</v>
      </c>
      <c r="E185" s="4">
        <v>45820</v>
      </c>
      <c r="F185" s="5">
        <f t="shared" si="6"/>
        <v>36</v>
      </c>
      <c r="G185">
        <v>15284</v>
      </c>
      <c r="H185" t="s">
        <v>55</v>
      </c>
      <c r="I185">
        <v>145</v>
      </c>
      <c r="J185">
        <v>17</v>
      </c>
      <c r="K185">
        <v>11</v>
      </c>
      <c r="L185" s="6">
        <f t="shared" si="7"/>
        <v>7.586206896551724E-2</v>
      </c>
      <c r="M185" t="s">
        <v>416</v>
      </c>
      <c r="N185">
        <v>67</v>
      </c>
      <c r="O185">
        <v>8275</v>
      </c>
      <c r="P185">
        <v>76</v>
      </c>
      <c r="R185">
        <v>78</v>
      </c>
      <c r="S185" s="3">
        <f t="shared" si="8"/>
        <v>2</v>
      </c>
      <c r="T185">
        <v>2</v>
      </c>
      <c r="U185">
        <v>78</v>
      </c>
      <c r="V185">
        <v>55</v>
      </c>
      <c r="W185" t="s">
        <v>33</v>
      </c>
      <c r="X185" t="s">
        <v>46</v>
      </c>
      <c r="Y185">
        <v>52</v>
      </c>
      <c r="Z185">
        <v>3</v>
      </c>
      <c r="AA185">
        <v>23</v>
      </c>
      <c r="AB185">
        <v>30</v>
      </c>
      <c r="AC185">
        <v>27842</v>
      </c>
    </row>
    <row r="186" spans="1:29" x14ac:dyDescent="0.35">
      <c r="A186" t="s">
        <v>417</v>
      </c>
      <c r="B186" t="s">
        <v>40</v>
      </c>
      <c r="C186" t="s">
        <v>63</v>
      </c>
      <c r="D186" s="4">
        <v>45776</v>
      </c>
      <c r="E186" s="4">
        <v>45823</v>
      </c>
      <c r="F186" s="5">
        <f t="shared" si="6"/>
        <v>47</v>
      </c>
      <c r="G186">
        <v>22858</v>
      </c>
      <c r="H186" t="s">
        <v>41</v>
      </c>
      <c r="I186">
        <v>168</v>
      </c>
      <c r="J186">
        <v>9</v>
      </c>
      <c r="K186">
        <v>9</v>
      </c>
      <c r="L186" s="6">
        <f t="shared" si="7"/>
        <v>5.3571428571428568E-2</v>
      </c>
      <c r="M186" t="s">
        <v>418</v>
      </c>
      <c r="N186">
        <v>17</v>
      </c>
      <c r="O186">
        <v>26730</v>
      </c>
      <c r="P186">
        <v>71</v>
      </c>
      <c r="R186">
        <v>96</v>
      </c>
      <c r="S186" s="3">
        <f t="shared" si="8"/>
        <v>25</v>
      </c>
      <c r="T186">
        <v>2</v>
      </c>
      <c r="U186">
        <v>76</v>
      </c>
      <c r="V186">
        <v>79</v>
      </c>
      <c r="W186" t="s">
        <v>38</v>
      </c>
      <c r="X186" t="s">
        <v>34</v>
      </c>
      <c r="Y186">
        <v>39</v>
      </c>
      <c r="Z186">
        <v>7</v>
      </c>
      <c r="AA186">
        <v>7</v>
      </c>
      <c r="AB186">
        <v>30</v>
      </c>
      <c r="AC186">
        <v>68600</v>
      </c>
    </row>
    <row r="187" spans="1:29" x14ac:dyDescent="0.35">
      <c r="A187" t="s">
        <v>419</v>
      </c>
      <c r="B187" t="s">
        <v>75</v>
      </c>
      <c r="C187" t="s">
        <v>54</v>
      </c>
      <c r="D187" s="4">
        <v>45547</v>
      </c>
      <c r="E187" s="4">
        <v>45594</v>
      </c>
      <c r="F187" s="5">
        <f t="shared" si="6"/>
        <v>47</v>
      </c>
      <c r="G187">
        <v>25848</v>
      </c>
      <c r="H187" t="s">
        <v>36</v>
      </c>
      <c r="I187">
        <v>164</v>
      </c>
      <c r="J187">
        <v>13</v>
      </c>
      <c r="K187">
        <v>11</v>
      </c>
      <c r="L187" s="6">
        <f t="shared" si="7"/>
        <v>6.7073170731707321E-2</v>
      </c>
      <c r="M187" t="s">
        <v>420</v>
      </c>
      <c r="N187">
        <v>6</v>
      </c>
      <c r="O187">
        <v>13925</v>
      </c>
      <c r="P187">
        <v>43</v>
      </c>
      <c r="R187">
        <v>55</v>
      </c>
      <c r="S187" s="3">
        <f t="shared" si="8"/>
        <v>12</v>
      </c>
      <c r="T187">
        <v>1</v>
      </c>
      <c r="U187">
        <v>85</v>
      </c>
      <c r="V187">
        <v>100</v>
      </c>
      <c r="W187" t="s">
        <v>38</v>
      </c>
      <c r="X187" t="s">
        <v>34</v>
      </c>
      <c r="Y187">
        <v>46</v>
      </c>
      <c r="Z187">
        <v>9</v>
      </c>
      <c r="AA187">
        <v>18</v>
      </c>
      <c r="AB187">
        <v>30</v>
      </c>
      <c r="AC187">
        <v>96528</v>
      </c>
    </row>
    <row r="188" spans="1:29" x14ac:dyDescent="0.35">
      <c r="A188" t="s">
        <v>421</v>
      </c>
      <c r="B188" t="s">
        <v>80</v>
      </c>
      <c r="C188" t="s">
        <v>63</v>
      </c>
      <c r="D188" s="4">
        <v>45690</v>
      </c>
      <c r="E188" s="4">
        <v>45725</v>
      </c>
      <c r="F188" s="5">
        <f t="shared" si="6"/>
        <v>35</v>
      </c>
      <c r="G188">
        <v>13622</v>
      </c>
      <c r="H188" t="s">
        <v>36</v>
      </c>
      <c r="I188">
        <v>169</v>
      </c>
      <c r="J188">
        <v>9</v>
      </c>
      <c r="K188">
        <v>9</v>
      </c>
      <c r="L188" s="6">
        <f t="shared" si="7"/>
        <v>5.3254437869822487E-2</v>
      </c>
      <c r="M188" t="s">
        <v>422</v>
      </c>
      <c r="N188">
        <v>59</v>
      </c>
      <c r="O188">
        <v>6060</v>
      </c>
      <c r="P188">
        <v>74</v>
      </c>
      <c r="R188">
        <v>95</v>
      </c>
      <c r="S188" s="3">
        <f t="shared" si="8"/>
        <v>21</v>
      </c>
      <c r="T188">
        <v>5</v>
      </c>
      <c r="U188">
        <v>80</v>
      </c>
      <c r="V188">
        <v>99</v>
      </c>
      <c r="W188" t="s">
        <v>38</v>
      </c>
      <c r="X188" t="s">
        <v>46</v>
      </c>
      <c r="Y188">
        <v>34</v>
      </c>
      <c r="Z188">
        <v>1</v>
      </c>
      <c r="AA188">
        <v>2</v>
      </c>
      <c r="AB188">
        <v>30</v>
      </c>
      <c r="AC188">
        <v>70007</v>
      </c>
    </row>
    <row r="189" spans="1:29" x14ac:dyDescent="0.35">
      <c r="A189" t="s">
        <v>423</v>
      </c>
      <c r="B189" t="s">
        <v>40</v>
      </c>
      <c r="C189" t="s">
        <v>89</v>
      </c>
      <c r="D189" s="4">
        <v>45496</v>
      </c>
      <c r="E189" s="4">
        <v>45556</v>
      </c>
      <c r="F189" s="5">
        <f t="shared" si="6"/>
        <v>60</v>
      </c>
      <c r="G189">
        <v>26970</v>
      </c>
      <c r="H189" t="s">
        <v>36</v>
      </c>
      <c r="I189">
        <v>44</v>
      </c>
      <c r="J189">
        <v>20</v>
      </c>
      <c r="K189">
        <v>17</v>
      </c>
      <c r="L189" s="6">
        <f t="shared" si="7"/>
        <v>0.38636363636363635</v>
      </c>
      <c r="M189" t="s">
        <v>424</v>
      </c>
      <c r="N189">
        <v>41</v>
      </c>
      <c r="O189">
        <v>16860</v>
      </c>
      <c r="P189">
        <v>73</v>
      </c>
      <c r="R189">
        <v>89</v>
      </c>
      <c r="S189" s="3">
        <f t="shared" si="8"/>
        <v>16</v>
      </c>
      <c r="T189">
        <v>2</v>
      </c>
      <c r="U189">
        <v>82</v>
      </c>
      <c r="V189">
        <v>82</v>
      </c>
      <c r="W189" t="s">
        <v>38</v>
      </c>
      <c r="X189" t="s">
        <v>46</v>
      </c>
      <c r="Y189">
        <v>60</v>
      </c>
      <c r="Z189">
        <v>5</v>
      </c>
      <c r="AA189">
        <v>17</v>
      </c>
      <c r="AB189">
        <v>30</v>
      </c>
      <c r="AC189">
        <v>87772</v>
      </c>
    </row>
    <row r="190" spans="1:29" x14ac:dyDescent="0.35">
      <c r="A190" t="s">
        <v>425</v>
      </c>
      <c r="B190" t="s">
        <v>58</v>
      </c>
      <c r="C190" t="s">
        <v>54</v>
      </c>
      <c r="D190" s="4">
        <v>45436</v>
      </c>
      <c r="E190" s="4">
        <v>45455</v>
      </c>
      <c r="F190" s="5">
        <f t="shared" si="6"/>
        <v>19</v>
      </c>
      <c r="G190">
        <v>38244</v>
      </c>
      <c r="H190" t="s">
        <v>36</v>
      </c>
      <c r="I190">
        <v>149</v>
      </c>
      <c r="J190">
        <v>16</v>
      </c>
      <c r="K190">
        <v>5</v>
      </c>
      <c r="L190" s="6">
        <f t="shared" si="7"/>
        <v>3.3557046979865772E-2</v>
      </c>
      <c r="M190" t="s">
        <v>426</v>
      </c>
      <c r="N190">
        <v>53</v>
      </c>
      <c r="O190">
        <v>19367</v>
      </c>
      <c r="P190">
        <v>83</v>
      </c>
      <c r="R190">
        <v>100</v>
      </c>
      <c r="S190" s="3">
        <f t="shared" si="8"/>
        <v>17</v>
      </c>
      <c r="T190">
        <v>5</v>
      </c>
      <c r="U190">
        <v>96</v>
      </c>
      <c r="V190">
        <v>59</v>
      </c>
      <c r="W190" t="s">
        <v>38</v>
      </c>
      <c r="X190" t="s">
        <v>34</v>
      </c>
      <c r="Y190">
        <v>52</v>
      </c>
      <c r="Z190">
        <v>3</v>
      </c>
      <c r="AA190">
        <v>19</v>
      </c>
      <c r="AB190">
        <v>30</v>
      </c>
      <c r="AC190">
        <v>71192</v>
      </c>
    </row>
    <row r="191" spans="1:29" x14ac:dyDescent="0.35">
      <c r="A191" t="s">
        <v>427</v>
      </c>
      <c r="B191" t="s">
        <v>75</v>
      </c>
      <c r="C191" t="s">
        <v>48</v>
      </c>
      <c r="D191" s="4">
        <v>45429</v>
      </c>
      <c r="E191" s="4">
        <v>45460</v>
      </c>
      <c r="F191" s="5">
        <f t="shared" si="6"/>
        <v>31</v>
      </c>
      <c r="G191">
        <v>30864</v>
      </c>
      <c r="H191" t="s">
        <v>31</v>
      </c>
      <c r="I191">
        <v>187</v>
      </c>
      <c r="J191">
        <v>1</v>
      </c>
      <c r="K191">
        <v>1</v>
      </c>
      <c r="L191" s="6">
        <f t="shared" si="7"/>
        <v>5.3475935828877002E-3</v>
      </c>
      <c r="M191" t="s">
        <v>428</v>
      </c>
      <c r="N191">
        <v>50</v>
      </c>
      <c r="O191">
        <v>20692</v>
      </c>
      <c r="P191">
        <v>63</v>
      </c>
      <c r="R191">
        <v>81</v>
      </c>
      <c r="S191" s="3">
        <f t="shared" si="8"/>
        <v>18</v>
      </c>
      <c r="T191">
        <v>5</v>
      </c>
      <c r="U191">
        <v>84</v>
      </c>
      <c r="V191">
        <v>100</v>
      </c>
      <c r="W191" t="s">
        <v>38</v>
      </c>
      <c r="X191" t="s">
        <v>46</v>
      </c>
      <c r="Y191">
        <v>25</v>
      </c>
      <c r="Z191">
        <v>12</v>
      </c>
      <c r="AA191">
        <v>16</v>
      </c>
      <c r="AB191">
        <v>30</v>
      </c>
      <c r="AC191">
        <v>102862</v>
      </c>
    </row>
    <row r="192" spans="1:29" x14ac:dyDescent="0.35">
      <c r="A192" t="s">
        <v>429</v>
      </c>
      <c r="B192" t="s">
        <v>58</v>
      </c>
      <c r="C192" t="s">
        <v>54</v>
      </c>
      <c r="D192" s="4">
        <v>45608</v>
      </c>
      <c r="E192" s="4">
        <v>45664</v>
      </c>
      <c r="F192" s="5">
        <f t="shared" si="6"/>
        <v>56</v>
      </c>
      <c r="G192">
        <v>43038</v>
      </c>
      <c r="H192" t="s">
        <v>36</v>
      </c>
      <c r="I192">
        <v>10</v>
      </c>
      <c r="J192">
        <v>15</v>
      </c>
      <c r="K192">
        <v>6</v>
      </c>
      <c r="L192" s="6">
        <f t="shared" si="7"/>
        <v>0.6</v>
      </c>
      <c r="M192" t="s">
        <v>430</v>
      </c>
      <c r="N192">
        <v>8</v>
      </c>
      <c r="O192">
        <v>10604</v>
      </c>
      <c r="P192">
        <v>68</v>
      </c>
      <c r="R192">
        <v>87</v>
      </c>
      <c r="S192" s="3">
        <f t="shared" si="8"/>
        <v>19</v>
      </c>
      <c r="T192">
        <v>4</v>
      </c>
      <c r="U192">
        <v>82</v>
      </c>
      <c r="V192">
        <v>65</v>
      </c>
      <c r="W192" t="s">
        <v>38</v>
      </c>
      <c r="X192" t="s">
        <v>46</v>
      </c>
      <c r="Y192">
        <v>28</v>
      </c>
      <c r="Z192">
        <v>18</v>
      </c>
      <c r="AA192">
        <v>7</v>
      </c>
      <c r="AB192">
        <v>30</v>
      </c>
      <c r="AC192">
        <v>84165</v>
      </c>
    </row>
    <row r="193" spans="1:29" x14ac:dyDescent="0.35">
      <c r="A193" t="s">
        <v>431</v>
      </c>
      <c r="B193" t="s">
        <v>40</v>
      </c>
      <c r="C193" t="s">
        <v>63</v>
      </c>
      <c r="D193" s="4">
        <v>45469</v>
      </c>
      <c r="E193" s="4">
        <v>45494</v>
      </c>
      <c r="F193" s="5">
        <f t="shared" si="6"/>
        <v>25</v>
      </c>
      <c r="G193">
        <v>5162</v>
      </c>
      <c r="H193" t="s">
        <v>41</v>
      </c>
      <c r="I193">
        <v>174</v>
      </c>
      <c r="J193">
        <v>14</v>
      </c>
      <c r="K193">
        <v>7</v>
      </c>
      <c r="L193" s="6">
        <f t="shared" si="7"/>
        <v>4.0229885057471264E-2</v>
      </c>
      <c r="M193" t="s">
        <v>432</v>
      </c>
      <c r="N193">
        <v>5</v>
      </c>
      <c r="O193">
        <v>5197</v>
      </c>
      <c r="P193">
        <v>73</v>
      </c>
      <c r="R193">
        <v>100</v>
      </c>
      <c r="S193" s="3">
        <f t="shared" si="8"/>
        <v>27</v>
      </c>
      <c r="T193">
        <v>3</v>
      </c>
      <c r="U193">
        <v>95</v>
      </c>
      <c r="V193">
        <v>71</v>
      </c>
      <c r="W193" t="s">
        <v>38</v>
      </c>
      <c r="X193" t="s">
        <v>34</v>
      </c>
      <c r="Y193">
        <v>28</v>
      </c>
      <c r="Z193">
        <v>5</v>
      </c>
      <c r="AA193">
        <v>9</v>
      </c>
      <c r="AB193">
        <v>30</v>
      </c>
      <c r="AC193">
        <v>59290</v>
      </c>
    </row>
    <row r="194" spans="1:29" x14ac:dyDescent="0.35">
      <c r="A194" t="s">
        <v>433</v>
      </c>
      <c r="B194" t="s">
        <v>70</v>
      </c>
      <c r="C194" t="s">
        <v>48</v>
      </c>
      <c r="D194" s="4">
        <v>45352</v>
      </c>
      <c r="E194" s="4">
        <v>45402</v>
      </c>
      <c r="F194" s="5">
        <f t="shared" si="6"/>
        <v>50</v>
      </c>
      <c r="G194">
        <v>46718</v>
      </c>
      <c r="H194" t="s">
        <v>55</v>
      </c>
      <c r="I194">
        <v>109</v>
      </c>
      <c r="J194">
        <v>19</v>
      </c>
      <c r="K194">
        <v>16</v>
      </c>
      <c r="L194" s="6">
        <f t="shared" si="7"/>
        <v>0.14678899082568808</v>
      </c>
      <c r="M194" t="s">
        <v>434</v>
      </c>
      <c r="N194">
        <v>18</v>
      </c>
      <c r="O194">
        <v>13587</v>
      </c>
      <c r="P194">
        <v>76</v>
      </c>
      <c r="R194">
        <v>81</v>
      </c>
      <c r="S194" s="3">
        <f t="shared" si="8"/>
        <v>5</v>
      </c>
      <c r="T194">
        <v>3</v>
      </c>
      <c r="U194">
        <v>86</v>
      </c>
      <c r="V194">
        <v>51</v>
      </c>
      <c r="W194" t="s">
        <v>38</v>
      </c>
      <c r="X194" t="s">
        <v>34</v>
      </c>
      <c r="Y194">
        <v>34</v>
      </c>
      <c r="Z194">
        <v>4</v>
      </c>
      <c r="AA194">
        <v>10</v>
      </c>
      <c r="AB194">
        <v>30</v>
      </c>
      <c r="AC194">
        <v>118024</v>
      </c>
    </row>
    <row r="195" spans="1:29" x14ac:dyDescent="0.35">
      <c r="A195" t="s">
        <v>435</v>
      </c>
      <c r="B195" t="s">
        <v>58</v>
      </c>
      <c r="C195" t="s">
        <v>63</v>
      </c>
      <c r="D195" s="4">
        <v>45629</v>
      </c>
      <c r="E195" s="4">
        <v>45646</v>
      </c>
      <c r="F195" s="5">
        <f t="shared" ref="F195:F201" si="9">E195-D195</f>
        <v>17</v>
      </c>
      <c r="G195">
        <v>29450</v>
      </c>
      <c r="H195" t="s">
        <v>31</v>
      </c>
      <c r="I195">
        <v>138</v>
      </c>
      <c r="J195">
        <v>19</v>
      </c>
      <c r="K195">
        <v>13</v>
      </c>
      <c r="L195" s="6">
        <f t="shared" ref="L195:L201" si="10">K195/I195</f>
        <v>9.420289855072464E-2</v>
      </c>
      <c r="M195" t="s">
        <v>436</v>
      </c>
      <c r="N195">
        <v>79</v>
      </c>
      <c r="O195">
        <v>9947</v>
      </c>
      <c r="P195">
        <v>62</v>
      </c>
      <c r="R195">
        <v>65</v>
      </c>
      <c r="S195" s="3">
        <f t="shared" ref="S195:S201" si="11">R195-P195</f>
        <v>3</v>
      </c>
      <c r="T195">
        <v>1</v>
      </c>
      <c r="U195">
        <v>82</v>
      </c>
      <c r="V195">
        <v>63</v>
      </c>
      <c r="W195" t="s">
        <v>38</v>
      </c>
      <c r="X195" t="s">
        <v>34</v>
      </c>
      <c r="Y195">
        <v>36</v>
      </c>
      <c r="Z195">
        <v>5</v>
      </c>
      <c r="AA195">
        <v>3</v>
      </c>
      <c r="AB195">
        <v>30</v>
      </c>
      <c r="AC195">
        <v>94789</v>
      </c>
    </row>
    <row r="196" spans="1:29" x14ac:dyDescent="0.35">
      <c r="A196" t="s">
        <v>437</v>
      </c>
      <c r="B196" t="s">
        <v>29</v>
      </c>
      <c r="C196" t="s">
        <v>51</v>
      </c>
      <c r="D196" s="4">
        <v>45524</v>
      </c>
      <c r="E196" s="4">
        <v>45543</v>
      </c>
      <c r="F196" s="5">
        <f t="shared" si="9"/>
        <v>19</v>
      </c>
      <c r="G196">
        <v>28214</v>
      </c>
      <c r="H196" t="s">
        <v>31</v>
      </c>
      <c r="I196">
        <v>20</v>
      </c>
      <c r="J196">
        <v>15</v>
      </c>
      <c r="K196">
        <v>1</v>
      </c>
      <c r="L196" s="6">
        <f t="shared" si="10"/>
        <v>0.05</v>
      </c>
      <c r="M196" t="s">
        <v>438</v>
      </c>
      <c r="N196">
        <v>71</v>
      </c>
      <c r="O196">
        <v>21600</v>
      </c>
      <c r="P196">
        <v>67</v>
      </c>
      <c r="R196">
        <v>74</v>
      </c>
      <c r="S196" s="3">
        <f t="shared" si="11"/>
        <v>7</v>
      </c>
      <c r="T196">
        <v>1</v>
      </c>
      <c r="U196">
        <v>93</v>
      </c>
      <c r="V196">
        <v>86</v>
      </c>
      <c r="W196" t="s">
        <v>38</v>
      </c>
      <c r="X196" t="s">
        <v>34</v>
      </c>
      <c r="Y196">
        <v>27</v>
      </c>
      <c r="Z196">
        <v>3</v>
      </c>
      <c r="AA196">
        <v>22</v>
      </c>
      <c r="AB196">
        <v>30</v>
      </c>
      <c r="AC196">
        <v>54768</v>
      </c>
    </row>
    <row r="197" spans="1:29" x14ac:dyDescent="0.35">
      <c r="A197" t="s">
        <v>439</v>
      </c>
      <c r="B197" t="s">
        <v>75</v>
      </c>
      <c r="C197" t="s">
        <v>48</v>
      </c>
      <c r="D197" s="4">
        <v>45490</v>
      </c>
      <c r="E197" s="4">
        <v>45546</v>
      </c>
      <c r="F197" s="5">
        <f t="shared" si="9"/>
        <v>56</v>
      </c>
      <c r="G197">
        <v>11790</v>
      </c>
      <c r="H197" t="s">
        <v>55</v>
      </c>
      <c r="I197">
        <v>72</v>
      </c>
      <c r="J197">
        <v>19</v>
      </c>
      <c r="K197">
        <v>9</v>
      </c>
      <c r="L197" s="6">
        <f t="shared" si="10"/>
        <v>0.125</v>
      </c>
      <c r="M197" t="s">
        <v>440</v>
      </c>
      <c r="N197">
        <v>40</v>
      </c>
      <c r="O197">
        <v>6771</v>
      </c>
      <c r="P197">
        <v>67</v>
      </c>
      <c r="R197">
        <v>88</v>
      </c>
      <c r="S197" s="3">
        <f t="shared" si="11"/>
        <v>21</v>
      </c>
      <c r="T197">
        <v>2</v>
      </c>
      <c r="U197">
        <v>92</v>
      </c>
      <c r="V197">
        <v>90</v>
      </c>
      <c r="W197" t="s">
        <v>38</v>
      </c>
      <c r="X197" t="s">
        <v>34</v>
      </c>
      <c r="Y197">
        <v>29</v>
      </c>
      <c r="Z197">
        <v>23</v>
      </c>
      <c r="AA197">
        <v>24</v>
      </c>
      <c r="AB197">
        <v>30</v>
      </c>
      <c r="AC197">
        <v>80941</v>
      </c>
    </row>
    <row r="198" spans="1:29" x14ac:dyDescent="0.35">
      <c r="A198" t="s">
        <v>441</v>
      </c>
      <c r="B198" t="s">
        <v>80</v>
      </c>
      <c r="C198" t="s">
        <v>51</v>
      </c>
      <c r="D198" s="4">
        <v>45401</v>
      </c>
      <c r="E198" s="4">
        <v>45455</v>
      </c>
      <c r="F198" s="5">
        <f t="shared" si="9"/>
        <v>54</v>
      </c>
      <c r="G198">
        <v>45172</v>
      </c>
      <c r="H198" t="s">
        <v>44</v>
      </c>
      <c r="I198">
        <v>57</v>
      </c>
      <c r="J198">
        <v>17</v>
      </c>
      <c r="K198">
        <v>9</v>
      </c>
      <c r="L198" s="6">
        <f t="shared" si="10"/>
        <v>0.15789473684210525</v>
      </c>
      <c r="M198" t="s">
        <v>442</v>
      </c>
      <c r="N198">
        <v>18</v>
      </c>
      <c r="O198">
        <v>27511</v>
      </c>
      <c r="P198">
        <v>64</v>
      </c>
      <c r="R198">
        <v>79</v>
      </c>
      <c r="S198" s="3">
        <f t="shared" si="11"/>
        <v>15</v>
      </c>
      <c r="T198">
        <v>5</v>
      </c>
      <c r="U198">
        <v>78</v>
      </c>
      <c r="V198">
        <v>87</v>
      </c>
      <c r="W198" t="s">
        <v>38</v>
      </c>
      <c r="X198" t="s">
        <v>46</v>
      </c>
      <c r="Y198">
        <v>58</v>
      </c>
      <c r="Z198">
        <v>20</v>
      </c>
      <c r="AA198">
        <v>5</v>
      </c>
      <c r="AB198">
        <v>30</v>
      </c>
      <c r="AC198">
        <v>93035</v>
      </c>
    </row>
    <row r="199" spans="1:29" x14ac:dyDescent="0.35">
      <c r="A199" t="s">
        <v>443</v>
      </c>
      <c r="B199" t="s">
        <v>75</v>
      </c>
      <c r="C199" t="s">
        <v>89</v>
      </c>
      <c r="D199" s="4">
        <v>45379</v>
      </c>
      <c r="E199" s="4">
        <v>45400</v>
      </c>
      <c r="F199" s="5">
        <f t="shared" si="9"/>
        <v>21</v>
      </c>
      <c r="G199">
        <v>17490</v>
      </c>
      <c r="H199" t="s">
        <v>36</v>
      </c>
      <c r="I199">
        <v>50</v>
      </c>
      <c r="J199">
        <v>14</v>
      </c>
      <c r="K199">
        <v>12</v>
      </c>
      <c r="L199" s="6">
        <f t="shared" si="10"/>
        <v>0.24</v>
      </c>
      <c r="M199" t="s">
        <v>444</v>
      </c>
      <c r="N199">
        <v>70</v>
      </c>
      <c r="O199">
        <v>19377</v>
      </c>
      <c r="P199">
        <v>75</v>
      </c>
      <c r="R199">
        <v>83</v>
      </c>
      <c r="S199" s="3">
        <f t="shared" si="11"/>
        <v>8</v>
      </c>
      <c r="T199">
        <v>1</v>
      </c>
      <c r="U199">
        <v>100</v>
      </c>
      <c r="V199">
        <v>96</v>
      </c>
      <c r="W199" t="s">
        <v>38</v>
      </c>
      <c r="X199" t="s">
        <v>46</v>
      </c>
      <c r="Y199">
        <v>26</v>
      </c>
      <c r="Z199">
        <v>22</v>
      </c>
      <c r="AA199">
        <v>24</v>
      </c>
      <c r="AB199">
        <v>30</v>
      </c>
      <c r="AC199">
        <v>93046</v>
      </c>
    </row>
    <row r="200" spans="1:29" x14ac:dyDescent="0.35">
      <c r="A200" t="s">
        <v>445</v>
      </c>
      <c r="B200" t="s">
        <v>58</v>
      </c>
      <c r="C200" t="s">
        <v>54</v>
      </c>
      <c r="D200" s="4">
        <v>45786</v>
      </c>
      <c r="E200" s="4">
        <v>45809</v>
      </c>
      <c r="F200" s="5">
        <f t="shared" si="9"/>
        <v>23</v>
      </c>
      <c r="G200">
        <v>29773</v>
      </c>
      <c r="H200" t="s">
        <v>31</v>
      </c>
      <c r="I200">
        <v>60</v>
      </c>
      <c r="J200">
        <v>15</v>
      </c>
      <c r="K200">
        <v>13</v>
      </c>
      <c r="L200" s="6">
        <f t="shared" si="10"/>
        <v>0.21666666666666667</v>
      </c>
      <c r="M200" t="s">
        <v>446</v>
      </c>
      <c r="N200">
        <v>30</v>
      </c>
      <c r="O200">
        <v>29890</v>
      </c>
      <c r="P200">
        <v>59</v>
      </c>
      <c r="R200">
        <v>84</v>
      </c>
      <c r="S200" s="3">
        <f t="shared" si="11"/>
        <v>25</v>
      </c>
      <c r="T200">
        <v>2</v>
      </c>
      <c r="U200">
        <v>87</v>
      </c>
      <c r="V200">
        <v>68</v>
      </c>
      <c r="W200" t="s">
        <v>38</v>
      </c>
      <c r="X200" t="s">
        <v>34</v>
      </c>
      <c r="Y200">
        <v>33</v>
      </c>
      <c r="Z200">
        <v>9</v>
      </c>
      <c r="AA200">
        <v>24</v>
      </c>
      <c r="AB200">
        <v>30</v>
      </c>
      <c r="AC200">
        <v>62805</v>
      </c>
    </row>
    <row r="201" spans="1:29" x14ac:dyDescent="0.35">
      <c r="A201" t="s">
        <v>447</v>
      </c>
      <c r="B201" t="s">
        <v>29</v>
      </c>
      <c r="C201" t="s">
        <v>48</v>
      </c>
      <c r="D201" s="4">
        <v>45624</v>
      </c>
      <c r="E201" s="4">
        <v>45678</v>
      </c>
      <c r="F201" s="5">
        <f t="shared" si="9"/>
        <v>54</v>
      </c>
      <c r="G201">
        <v>24187</v>
      </c>
      <c r="H201" t="s">
        <v>36</v>
      </c>
      <c r="I201">
        <v>116</v>
      </c>
      <c r="J201">
        <v>10</v>
      </c>
      <c r="K201">
        <v>10</v>
      </c>
      <c r="L201" s="6">
        <f t="shared" si="10"/>
        <v>8.6206896551724144E-2</v>
      </c>
      <c r="M201" t="s">
        <v>448</v>
      </c>
      <c r="N201">
        <v>19</v>
      </c>
      <c r="O201">
        <v>21222</v>
      </c>
      <c r="P201">
        <v>58</v>
      </c>
      <c r="R201">
        <v>66</v>
      </c>
      <c r="S201" s="3">
        <f t="shared" si="11"/>
        <v>8</v>
      </c>
      <c r="T201">
        <v>2</v>
      </c>
      <c r="U201">
        <v>84</v>
      </c>
      <c r="V201">
        <v>61</v>
      </c>
      <c r="W201" t="s">
        <v>38</v>
      </c>
      <c r="X201" t="s">
        <v>34</v>
      </c>
      <c r="Y201">
        <v>30</v>
      </c>
      <c r="Z201">
        <v>5</v>
      </c>
      <c r="AA201">
        <v>11</v>
      </c>
      <c r="AB201">
        <v>30</v>
      </c>
      <c r="AC201">
        <v>101475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D534-9661-4FC3-8E6B-E02A5226D091}">
  <dimension ref="A1:F14"/>
  <sheetViews>
    <sheetView workbookViewId="0">
      <selection activeCell="F14" sqref="F14"/>
    </sheetView>
  </sheetViews>
  <sheetFormatPr defaultRowHeight="14.5" x14ac:dyDescent="0.35"/>
  <cols>
    <col min="2" max="2" width="34" bestFit="1" customWidth="1"/>
    <col min="4" max="4" width="20.90625" bestFit="1" customWidth="1"/>
    <col min="6" max="6" width="20.90625" bestFit="1" customWidth="1"/>
  </cols>
  <sheetData>
    <row r="1" spans="1:6" ht="21" x14ac:dyDescent="0.35">
      <c r="B1" s="7" t="s">
        <v>449</v>
      </c>
    </row>
    <row r="2" spans="1:6" x14ac:dyDescent="0.35">
      <c r="A2">
        <v>1</v>
      </c>
      <c r="B2" t="s">
        <v>450</v>
      </c>
      <c r="D2" s="9" t="s">
        <v>455</v>
      </c>
    </row>
    <row r="4" spans="1:6" x14ac:dyDescent="0.35">
      <c r="D4" t="s">
        <v>454</v>
      </c>
    </row>
    <row r="7" spans="1:6" x14ac:dyDescent="0.35">
      <c r="A7">
        <v>2</v>
      </c>
      <c r="B7" t="s">
        <v>451</v>
      </c>
      <c r="D7" s="8">
        <f>AVERAGE(DATA!F2:F201)</f>
        <v>34.365000000000002</v>
      </c>
      <c r="F7" s="8"/>
    </row>
    <row r="11" spans="1:6" x14ac:dyDescent="0.35">
      <c r="A11">
        <v>3</v>
      </c>
      <c r="B11" t="s">
        <v>452</v>
      </c>
      <c r="D11" s="8">
        <f>MAX(DATA!F2:F201)</f>
        <v>60</v>
      </c>
      <c r="F11" s="8"/>
    </row>
    <row r="14" spans="1:6" x14ac:dyDescent="0.35">
      <c r="A14">
        <v>4</v>
      </c>
      <c r="B14" t="s">
        <v>453</v>
      </c>
      <c r="D14" s="8">
        <f>MIN(DATA!F2:F201)</f>
        <v>5</v>
      </c>
      <c r="F1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01A7-DB75-4533-A34E-4F0F272BD99F}">
  <dimension ref="A1:D9"/>
  <sheetViews>
    <sheetView workbookViewId="0">
      <selection activeCell="F9" sqref="F9"/>
    </sheetView>
  </sheetViews>
  <sheetFormatPr defaultRowHeight="14.5" x14ac:dyDescent="0.35"/>
  <cols>
    <col min="2" max="2" width="31.81640625" bestFit="1" customWidth="1"/>
  </cols>
  <sheetData>
    <row r="1" spans="1:4" ht="21" x14ac:dyDescent="0.35">
      <c r="B1" s="7" t="s">
        <v>456</v>
      </c>
    </row>
    <row r="3" spans="1:4" x14ac:dyDescent="0.35">
      <c r="A3">
        <v>5</v>
      </c>
      <c r="B3" t="s">
        <v>457</v>
      </c>
      <c r="D3">
        <f>AVERAGE(DATA!G2:G201)</f>
        <v>27678.880000000001</v>
      </c>
    </row>
    <row r="6" spans="1:4" x14ac:dyDescent="0.35">
      <c r="A6">
        <v>6</v>
      </c>
      <c r="B6" t="s">
        <v>458</v>
      </c>
      <c r="D6">
        <f>SUM(DATA!G2:G201)</f>
        <v>5535776</v>
      </c>
    </row>
    <row r="9" spans="1:4" x14ac:dyDescent="0.35">
      <c r="A9">
        <v>7</v>
      </c>
      <c r="B9" t="s">
        <v>459</v>
      </c>
      <c r="D9">
        <f>MAX(DATA!G2:G201)</f>
        <v>49913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E9D-8171-4474-AC9F-B1AFE1D26C0E}">
  <dimension ref="A1:C13"/>
  <sheetViews>
    <sheetView workbookViewId="0">
      <selection activeCell="C13" sqref="C13"/>
    </sheetView>
  </sheetViews>
  <sheetFormatPr defaultRowHeight="14.5" x14ac:dyDescent="0.35"/>
  <cols>
    <col min="2" max="2" width="50.81640625" bestFit="1" customWidth="1"/>
    <col min="3" max="3" width="13" bestFit="1" customWidth="1"/>
  </cols>
  <sheetData>
    <row r="1" spans="1:3" ht="21" x14ac:dyDescent="0.35">
      <c r="B1" s="7" t="s">
        <v>460</v>
      </c>
    </row>
    <row r="3" spans="1:3" x14ac:dyDescent="0.35">
      <c r="A3">
        <v>8</v>
      </c>
      <c r="B3" t="s">
        <v>461</v>
      </c>
      <c r="C3" s="9" t="str" cm="1">
        <f t="array" ref="C3">_xlfn.LET(_xlpm.sources,_xlfn.UNIQUE(DATA!H191:H201),_xlpm.hires,SUMIF(DATA!H2:H201,_xlpm.sources,DATA!K2:K201),_xlfn._xlws.FILTER(_xlpm.sources,_xlpm.hires=MAX(_xlpm.hires)))</f>
        <v>Naukri</v>
      </c>
    </row>
    <row r="6" spans="1:3" x14ac:dyDescent="0.35">
      <c r="A6">
        <v>9</v>
      </c>
      <c r="B6" t="s">
        <v>462</v>
      </c>
      <c r="C6" s="9" t="str" cm="1">
        <f t="array" ref="C6">_xlfn.LET(_xlpm.sources,_xlfn.UNIQUE(DATA!H191:H201),_xlpm.hires,SUMIF(DATA!H2:H201,_xlpm.sources,DATA!K2:K201),_xlfn._xlws.FILTER(_xlpm.sources,_xlpm.hires=MIN(_xlpm.hires)))</f>
        <v>Campus Hiring</v>
      </c>
    </row>
    <row r="10" spans="1:3" x14ac:dyDescent="0.35">
      <c r="A10">
        <v>10</v>
      </c>
      <c r="B10" t="s">
        <v>463</v>
      </c>
      <c r="C10" s="9" t="str" cm="1">
        <f t="array" ref="C10">_xlfn.LET(_xlpm.sources, _xlfn.UNIQUE(DATA!H2:H201), _xlpm.cost, SUMIF(DATA!H2:H201,_xlpm.sources, DATA!G2:G201), _xlfn._xlws.FILTER(_xlpm.sources,_xlpm.cost=MIN(_xlpm.cost)))</f>
        <v>Campus Hiring</v>
      </c>
    </row>
    <row r="13" spans="1:3" x14ac:dyDescent="0.35">
      <c r="A13">
        <v>11</v>
      </c>
      <c r="B13" t="s">
        <v>464</v>
      </c>
      <c r="C13" s="9" t="str" cm="1">
        <f t="array" ref="C13">_xlfn.LET(_xlpm.sources, _xlfn.UNIQUE(DATA!H2:H201), _xlpm.cost, SUMIF(DATA!H2:H201,_xlpm.sources, DATA!G2:G201), _xlfn._xlws.FILTER(_xlpm.sources,_xlpm.cost=MAX(_xlpm.cost)))</f>
        <v>LinkedIn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0B10-0034-49D0-84D4-F7440662C831}">
  <dimension ref="A1:C23"/>
  <sheetViews>
    <sheetView workbookViewId="0">
      <selection activeCell="C10" sqref="C10"/>
    </sheetView>
  </sheetViews>
  <sheetFormatPr defaultRowHeight="14.5" x14ac:dyDescent="0.35"/>
  <cols>
    <col min="2" max="2" width="43.54296875" bestFit="1" customWidth="1"/>
    <col min="3" max="3" width="27.26953125" bestFit="1" customWidth="1"/>
  </cols>
  <sheetData>
    <row r="1" spans="1:3" ht="21" x14ac:dyDescent="0.35">
      <c r="B1" s="7" t="s">
        <v>465</v>
      </c>
    </row>
    <row r="4" spans="1:3" x14ac:dyDescent="0.35">
      <c r="A4">
        <v>12</v>
      </c>
      <c r="B4" t="s">
        <v>466</v>
      </c>
      <c r="C4" s="10" t="s">
        <v>468</v>
      </c>
    </row>
    <row r="8" spans="1:3" x14ac:dyDescent="0.35">
      <c r="A8">
        <v>13</v>
      </c>
      <c r="B8" t="s">
        <v>467</v>
      </c>
      <c r="C8" s="9" t="str">
        <f>_xlfn.LET(_xlpm.sources,DATA!H2:H201,_xlpm.rates,DATA!L2:L201,_xlpm.maxrate,MAX(_xlpm.rates),_xlpm.source,INDEX(_xlpm.sources,MATCH(_xlpm.maxrate,_xlpm.rates,0)),_xlpm.source&amp;"-"&amp;TEXT(_xlpm.maxrate,"0.00%"))</f>
        <v>Naukri-70.00%</v>
      </c>
    </row>
    <row r="12" spans="1:3" ht="21" x14ac:dyDescent="0.35">
      <c r="B12" s="7" t="s">
        <v>469</v>
      </c>
    </row>
    <row r="14" spans="1:3" x14ac:dyDescent="0.35">
      <c r="A14">
        <v>14</v>
      </c>
      <c r="B14" t="s">
        <v>470</v>
      </c>
      <c r="C14">
        <f>SUM(DATA!N2:N201)</f>
        <v>8009</v>
      </c>
    </row>
    <row r="17" spans="1:3" x14ac:dyDescent="0.35">
      <c r="A17">
        <v>15</v>
      </c>
      <c r="B17" t="s">
        <v>471</v>
      </c>
      <c r="C17">
        <f>AVERAGE(DATA!N2:N201)</f>
        <v>40.045000000000002</v>
      </c>
    </row>
    <row r="20" spans="1:3" x14ac:dyDescent="0.35">
      <c r="A20">
        <v>16</v>
      </c>
      <c r="B20" t="s">
        <v>472</v>
      </c>
      <c r="C20">
        <f>MAX(DATA!N2:N201)</f>
        <v>79</v>
      </c>
    </row>
    <row r="23" spans="1:3" x14ac:dyDescent="0.35">
      <c r="A23">
        <v>17</v>
      </c>
      <c r="B23" t="s">
        <v>473</v>
      </c>
      <c r="C23">
        <f>MIN(DATA!N2:N201)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B165-04D4-4A58-B866-F031D85EF277}">
  <dimension ref="A1:D15"/>
  <sheetViews>
    <sheetView workbookViewId="0">
      <selection activeCell="D11" sqref="D11"/>
    </sheetView>
  </sheetViews>
  <sheetFormatPr defaultRowHeight="14.5" x14ac:dyDescent="0.35"/>
  <cols>
    <col min="2" max="2" width="42.453125" bestFit="1" customWidth="1"/>
    <col min="3" max="3" width="10.08984375" bestFit="1" customWidth="1"/>
    <col min="4" max="4" width="9.90625" customWidth="1"/>
  </cols>
  <sheetData>
    <row r="1" spans="1:4" ht="21" x14ac:dyDescent="0.35">
      <c r="B1" s="7" t="s">
        <v>474</v>
      </c>
    </row>
    <row r="2" spans="1:4" x14ac:dyDescent="0.35">
      <c r="A2">
        <v>18</v>
      </c>
      <c r="B2" t="s">
        <v>475</v>
      </c>
      <c r="C2">
        <f>SUM(DATA!O2:O201)</f>
        <v>3159908</v>
      </c>
    </row>
    <row r="6" spans="1:4" x14ac:dyDescent="0.35">
      <c r="A6">
        <v>19</v>
      </c>
      <c r="B6" t="s">
        <v>476</v>
      </c>
      <c r="C6">
        <f>AVERAGE(DATA!O2:O201)</f>
        <v>15799.54</v>
      </c>
    </row>
    <row r="10" spans="1:4" x14ac:dyDescent="0.35">
      <c r="A10">
        <v>20</v>
      </c>
      <c r="B10" t="s">
        <v>477</v>
      </c>
      <c r="C10" s="9" t="str" cm="1">
        <f t="array" ref="C10:C15">_xlfn.UNIQUE(DATA!B2:B201)</f>
        <v>Operations</v>
      </c>
      <c r="D10" s="9" cm="1">
        <f t="array" ref="D10:D15">SUMIF(DATA!B2:B201,_xlfn.ANCHORARRAY('EX 5'!C10),DATA!O2:O201)</f>
        <v>499769</v>
      </c>
    </row>
    <row r="11" spans="1:4" x14ac:dyDescent="0.35">
      <c r="C11" t="str">
        <v>HR</v>
      </c>
      <c r="D11">
        <v>448090</v>
      </c>
    </row>
    <row r="12" spans="1:4" x14ac:dyDescent="0.35">
      <c r="C12" t="str">
        <v>Marketing</v>
      </c>
      <c r="D12">
        <v>637062</v>
      </c>
    </row>
    <row r="13" spans="1:4" x14ac:dyDescent="0.35">
      <c r="C13" t="str">
        <v>Sales</v>
      </c>
      <c r="D13">
        <v>471438</v>
      </c>
    </row>
    <row r="14" spans="1:4" x14ac:dyDescent="0.35">
      <c r="C14" t="str">
        <v>Finance</v>
      </c>
      <c r="D14">
        <v>713052</v>
      </c>
    </row>
    <row r="15" spans="1:4" x14ac:dyDescent="0.35">
      <c r="C15" t="str">
        <v>IT</v>
      </c>
      <c r="D15">
        <v>390497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A96B-BF53-4C69-9FCF-9001BCA5BB3C}">
  <dimension ref="A1:D20"/>
  <sheetViews>
    <sheetView topLeftCell="A3" workbookViewId="0">
      <selection activeCell="G13" sqref="G13"/>
    </sheetView>
  </sheetViews>
  <sheetFormatPr defaultRowHeight="14.5" x14ac:dyDescent="0.35"/>
  <cols>
    <col min="2" max="2" width="46.08984375" bestFit="1" customWidth="1"/>
    <col min="3" max="3" width="11.08984375" customWidth="1"/>
  </cols>
  <sheetData>
    <row r="1" spans="1:4" ht="21" x14ac:dyDescent="0.35">
      <c r="B1" s="7" t="s">
        <v>478</v>
      </c>
    </row>
    <row r="5" spans="1:4" x14ac:dyDescent="0.35">
      <c r="A5">
        <v>21</v>
      </c>
      <c r="B5" t="s">
        <v>479</v>
      </c>
      <c r="C5" t="s">
        <v>481</v>
      </c>
    </row>
    <row r="9" spans="1:4" x14ac:dyDescent="0.35">
      <c r="A9">
        <v>22</v>
      </c>
      <c r="B9" t="s">
        <v>480</v>
      </c>
      <c r="C9" t="str" cm="1">
        <f t="array" ref="C9:C11">_xlfn._xlws.FILTER(DATA!M2:M201,DATA!S2:S201=MAX(DATA!S2:S201))</f>
        <v>E004</v>
      </c>
      <c r="D9">
        <f>MAX(DATA!$S$2:$S$201)</f>
        <v>30</v>
      </c>
    </row>
    <row r="10" spans="1:4" x14ac:dyDescent="0.35">
      <c r="C10" t="str">
        <v>E068</v>
      </c>
      <c r="D10">
        <f>MAX(DATA!$S$2:$S$201)</f>
        <v>30</v>
      </c>
    </row>
    <row r="11" spans="1:4" x14ac:dyDescent="0.35">
      <c r="C11" t="str">
        <v>E080</v>
      </c>
      <c r="D11">
        <f>MAX(DATA!$S$2:$S$201)</f>
        <v>30</v>
      </c>
    </row>
    <row r="15" spans="1:4" x14ac:dyDescent="0.35">
      <c r="A15">
        <v>23</v>
      </c>
      <c r="B15" t="s">
        <v>482</v>
      </c>
      <c r="C15" t="str" cm="1">
        <f t="array" ref="C15:C20">_xlfn.UNIQUE(DATA!B2:B201)</f>
        <v>Operations</v>
      </c>
      <c r="D15" s="8" cm="1">
        <f t="array" ref="D15:D20">AVERAGEIF(DATA!B2:B201,_xlfn.ANCHORARRAY(C15),DATA!S2:S201)</f>
        <v>12.65625</v>
      </c>
    </row>
    <row r="16" spans="1:4" x14ac:dyDescent="0.35">
      <c r="C16" t="str">
        <v>HR</v>
      </c>
      <c r="D16" s="8">
        <v>16.315789473684209</v>
      </c>
    </row>
    <row r="17" spans="3:4" x14ac:dyDescent="0.35">
      <c r="C17" t="str">
        <v>Marketing</v>
      </c>
      <c r="D17" s="8">
        <v>14.868421052631579</v>
      </c>
    </row>
    <row r="18" spans="3:4" x14ac:dyDescent="0.35">
      <c r="C18" t="str">
        <v>Sales</v>
      </c>
      <c r="D18" s="8">
        <v>15.733333333333333</v>
      </c>
    </row>
    <row r="19" spans="3:4" x14ac:dyDescent="0.35">
      <c r="C19" t="str">
        <v>Finance</v>
      </c>
      <c r="D19" s="8">
        <v>12.184210526315789</v>
      </c>
    </row>
    <row r="20" spans="3:4" x14ac:dyDescent="0.35">
      <c r="C20" t="str">
        <v>IT</v>
      </c>
      <c r="D20" s="8">
        <v>15.291666666666666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00AC-16D1-4E84-98F4-842944DB4016}">
  <dimension ref="A1:F8"/>
  <sheetViews>
    <sheetView workbookViewId="0">
      <selection activeCell="I8" sqref="I8"/>
    </sheetView>
  </sheetViews>
  <sheetFormatPr defaultRowHeight="14.5" x14ac:dyDescent="0.35"/>
  <cols>
    <col min="2" max="2" width="42.26953125" bestFit="1" customWidth="1"/>
    <col min="5" max="5" width="12.54296875" bestFit="1" customWidth="1"/>
    <col min="6" max="6" width="27.26953125" bestFit="1" customWidth="1"/>
  </cols>
  <sheetData>
    <row r="1" spans="1:6" ht="21" x14ac:dyDescent="0.35">
      <c r="B1" s="7" t="s">
        <v>483</v>
      </c>
    </row>
    <row r="2" spans="1:6" x14ac:dyDescent="0.35">
      <c r="E2" t="s">
        <v>486</v>
      </c>
      <c r="F2" t="s">
        <v>487</v>
      </c>
    </row>
    <row r="3" spans="1:6" x14ac:dyDescent="0.35">
      <c r="E3" t="s">
        <v>488</v>
      </c>
      <c r="F3" t="s">
        <v>489</v>
      </c>
    </row>
    <row r="4" spans="1:6" x14ac:dyDescent="0.35">
      <c r="A4">
        <v>24</v>
      </c>
      <c r="B4" t="s">
        <v>484</v>
      </c>
      <c r="C4">
        <f>CORREL(DATA!N2:N201,DATA!S2:S201)</f>
        <v>2.7534034523663094E-2</v>
      </c>
      <c r="E4" t="s">
        <v>490</v>
      </c>
      <c r="F4" t="s">
        <v>491</v>
      </c>
    </row>
    <row r="5" spans="1:6" x14ac:dyDescent="0.35">
      <c r="E5">
        <v>0</v>
      </c>
      <c r="F5" t="s">
        <v>492</v>
      </c>
    </row>
    <row r="6" spans="1:6" x14ac:dyDescent="0.35">
      <c r="E6" t="s">
        <v>493</v>
      </c>
      <c r="F6" t="s">
        <v>494</v>
      </c>
    </row>
    <row r="7" spans="1:6" x14ac:dyDescent="0.35">
      <c r="E7" t="s">
        <v>495</v>
      </c>
      <c r="F7" t="s">
        <v>496</v>
      </c>
    </row>
    <row r="8" spans="1:6" x14ac:dyDescent="0.35">
      <c r="A8">
        <v>25</v>
      </c>
      <c r="B8" t="s">
        <v>485</v>
      </c>
      <c r="E8" t="s">
        <v>497</v>
      </c>
      <c r="F8" t="s">
        <v>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EX 1</vt:lpstr>
      <vt:lpstr>EX 2</vt:lpstr>
      <vt:lpstr>EX 3</vt:lpstr>
      <vt:lpstr>EX 4</vt:lpstr>
      <vt:lpstr>EX 5</vt:lpstr>
      <vt:lpstr>EX 6</vt:lpstr>
      <vt:lpstr>EX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S</dc:creator>
  <cp:lastModifiedBy>Vidhya S</cp:lastModifiedBy>
  <dcterms:created xsi:type="dcterms:W3CDTF">2026-09-29T14:36:51Z</dcterms:created>
  <dcterms:modified xsi:type="dcterms:W3CDTF">2026-10-29T16:55:30Z</dcterms:modified>
</cp:coreProperties>
</file>